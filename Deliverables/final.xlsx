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Frameworks\Capstone\Deliverables\"/>
    </mc:Choice>
  </mc:AlternateContent>
  <xr:revisionPtr revIDLastSave="0" documentId="13_ncr:1_{14CB57EF-BCE6-4FE7-B2F7-618346EF317D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Test Plan" sheetId="1" r:id="rId1"/>
    <sheet name="Test Scenarios" sheetId="2" r:id="rId2"/>
    <sheet name="Test Cases" sheetId="3" r:id="rId3"/>
    <sheet name="RTM" sheetId="4" r:id="rId4"/>
    <sheet name="Code Review &amp; Gap Analysis" sheetId="5" r:id="rId5"/>
    <sheet name="Test Execution Report" sheetId="6" r:id="rId6"/>
    <sheet name="Defect Report" sheetId="7" r:id="rId7"/>
    <sheet name="Test Summary Repor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6" l="1"/>
  <c r="B11" i="6"/>
  <c r="B10" i="6"/>
  <c r="B9" i="6"/>
  <c r="B8" i="6"/>
  <c r="B7" i="6"/>
</calcChain>
</file>

<file path=xl/sharedStrings.xml><?xml version="1.0" encoding="utf-8"?>
<sst xmlns="http://schemas.openxmlformats.org/spreadsheetml/2006/main" count="899" uniqueCount="506">
  <si>
    <t>PARABANK ROBOT FRAMEWORK CAPSTONE — MANUAL TEST PLAN</t>
  </si>
  <si>
    <t>PURPOSE</t>
  </si>
  <si>
    <t>Validate end-to-end account lifecycle and fund transfer flows across UI and API layers, ensuring data consistency, correctness, and proper error handling for the ParaBank demo banking application.</t>
  </si>
  <si>
    <t>SCOPE</t>
  </si>
  <si>
    <t>• Account creation via UI (FR-01)
• Account retrieval &amp; validation via API (FR-02, FR-03, FR-04)
• Fund transfer via UI (FR-05)
• Balance &amp; transaction validation via API (FR-06, FR-07)
• UI success/error message validation (FR-08)
• Negative &amp; boundary scenarios (FR-09)
• Hybrid (UI + API) end-to-end flows</t>
  </si>
  <si>
    <t>APPLICATION</t>
  </si>
  <si>
    <t>ParaBank Demo Banking App
UI: https://parabank.parasoft.com
API Swagger: https://parabank.parasoft.com/parabank/api-docs/index.html</t>
  </si>
  <si>
    <t>TEST APPROACH</t>
  </si>
  <si>
    <t>• Functional UI Testing (SeleniumLibrary + Robot Framework + Chrome/Firefox)
• API Testing (RequestsLibrary + Basic Auth)
• Hybrid E2E Testing (UI action → API verification)
• Negative / Boundary Testing
• Performance-Lite checks (response time + concurrency)</t>
  </si>
  <si>
    <t>ENVIRONMENTS</t>
  </si>
  <si>
    <t>• Browser: Chrome, Firefox
• OS: Ubuntu (CI/CD), Windows (local)
• Python 3.11+
• Framework: Robot Framework + SeleniumLibrary / RequestsLibrary</t>
  </si>
  <si>
    <t>ENTRY CRITERIA</t>
  </si>
  <si>
    <t>• ParaBank app is reachable at https://parabank.parasoft.com
• Test credentials (username/password) are active
• Robot Framework environment is installed and configured
• API Swagger documentation is accessible</t>
  </si>
  <si>
    <t>EXIT CRITERIA</t>
  </si>
  <si>
    <t>• All smoke tests pass
• ≥ 90% test case pass rate achieved
• All Critical/High defects resolved or formally deferred
• Test Summary Report prepared and signed off</t>
  </si>
  <si>
    <t>TEST TYPES</t>
  </si>
  <si>
    <t>1. UI Functional Tests — Login, Registration, Account Creation, Fund Transfer, Loan, Negative
2. API Tests — GET Accounts, GET Account by ID, Create Account, Transfer, Schema &amp; Type Validation
3. Hybrid E2E — UI create → API verify, UI transfer → API balance check
4. Performance Lite — API response time &lt; 2s, 20 concurrent requests</t>
  </si>
  <si>
    <t>OUT OF SCOPE</t>
  </si>
  <si>
    <t>• Real banking or financial transactions
• Security or penetration testing
• Mobile / responsive UI testing
• Full load or stress testing beyond lightweight performance checks</t>
  </si>
  <si>
    <t>RISKS &amp; MITIGATIONS</t>
  </si>
  <si>
    <t>• Demo site may reset data periodically → Use dynamic test data generation
• Multiple testers sharing accounts → Use isolated account creation flows
• API rate limiting on demo env → Add request throttling in performance suite
• Network latency on demo env → Add retry logic for flaky assertions</t>
  </si>
  <si>
    <t>FRAMEWORK</t>
  </si>
  <si>
    <t>Robot Framework + Python (POM + API Fixtures + Parallel Execution via Pabot)</t>
  </si>
  <si>
    <t>AUTOMATION STACK</t>
  </si>
  <si>
    <t>• SeleniumLibrary for UI
• RequestsLibrary for API
• Pabot for parallel execution
• Allure for reporting
• GitHub Actions for CI/CD</t>
  </si>
  <si>
    <t>PREPARED BY</t>
  </si>
  <si>
    <t>Candidate Name</t>
  </si>
  <si>
    <t>VERSION</t>
  </si>
  <si>
    <t>1.0 — June 2026</t>
  </si>
  <si>
    <t>TEST SCENARIOS — ParaBank Robot Framework Capstone</t>
  </si>
  <si>
    <t>Scenario ID</t>
  </si>
  <si>
    <t>Scenario Name</t>
  </si>
  <si>
    <t>Description</t>
  </si>
  <si>
    <t>FR Coverage</t>
  </si>
  <si>
    <t>Test Type</t>
  </si>
  <si>
    <t>TS-01</t>
  </si>
  <si>
    <t>FR-01</t>
  </si>
  <si>
    <t>UI</t>
  </si>
  <si>
    <t>High</t>
  </si>
  <si>
    <t>TS-02</t>
  </si>
  <si>
    <t>Open New CHECKING Account via UI</t>
  </si>
  <si>
    <t>FR-01, FR-08</t>
  </si>
  <si>
    <t>TS-03</t>
  </si>
  <si>
    <t>Open New SAVINGS Account via UI</t>
  </si>
  <si>
    <t>TS-04</t>
  </si>
  <si>
    <t>FR-09</t>
  </si>
  <si>
    <t>TS-05</t>
  </si>
  <si>
    <t>TS-06</t>
  </si>
  <si>
    <t>TS-07</t>
  </si>
  <si>
    <t>Logout from Application</t>
  </si>
  <si>
    <t>Medium</t>
  </si>
  <si>
    <t>TS-08</t>
  </si>
  <si>
    <t>FR-05, FR-08</t>
  </si>
  <si>
    <t>TS-09</t>
  </si>
  <si>
    <t>TS-10</t>
  </si>
  <si>
    <t>API</t>
  </si>
  <si>
    <t>TS-11</t>
  </si>
  <si>
    <t>FR-02</t>
  </si>
  <si>
    <t>TS-12</t>
  </si>
  <si>
    <t>FR-03, FR-04</t>
  </si>
  <si>
    <t>TS-13</t>
  </si>
  <si>
    <t>TS-14</t>
  </si>
  <si>
    <t>TS-15</t>
  </si>
  <si>
    <t>Transfer Funds via API</t>
  </si>
  <si>
    <t>TS-16</t>
  </si>
  <si>
    <t>TS-17</t>
  </si>
  <si>
    <t>FR-01, FR-02, FR-03</t>
  </si>
  <si>
    <t>Hybrid</t>
  </si>
  <si>
    <t>Critical</t>
  </si>
  <si>
    <t>TS-18</t>
  </si>
  <si>
    <t>Create Account via UI → Validate Account Type via API</t>
  </si>
  <si>
    <t>TS-19</t>
  </si>
  <si>
    <t>FR-05, FR-06, FR-07</t>
  </si>
  <si>
    <t>TS-20</t>
  </si>
  <si>
    <t>FR-05, FR-09</t>
  </si>
  <si>
    <t>TS-21</t>
  </si>
  <si>
    <t>TS-22</t>
  </si>
  <si>
    <t>TS-25</t>
  </si>
  <si>
    <t>API/Performance</t>
  </si>
  <si>
    <t>TS-26</t>
  </si>
  <si>
    <t>—</t>
  </si>
  <si>
    <t>TEST CASES — ParaBank Robot Framework Capstone</t>
  </si>
  <si>
    <t>TC ID</t>
  </si>
  <si>
    <t>Test Case Name</t>
  </si>
  <si>
    <t>Pre-conditions</t>
  </si>
  <si>
    <t>Test Steps</t>
  </si>
  <si>
    <t>Expected Result</t>
  </si>
  <si>
    <t>Status</t>
  </si>
  <si>
    <t>TC-UI-01</t>
  </si>
  <si>
    <t>Register New User with Valid Data</t>
  </si>
  <si>
    <t>App is accessible</t>
  </si>
  <si>
    <t>1. Navigate to Register page
2. Fill all mandatory fields with valid data
3. Click Register</t>
  </si>
  <si>
    <t>Registration successful; user lands on overview page or can login</t>
  </si>
  <si>
    <t>Pass</t>
  </si>
  <si>
    <t>TC-LGN-01</t>
  </si>
  <si>
    <t>Authenticate with Valid Credentials</t>
  </si>
  <si>
    <t>1. Open /parabank/index.htm
2. Enter valid username
3. Enter valid password
4. Click Log In</t>
  </si>
  <si>
    <t>User lands on Account Overview page; URL contains 'overview'</t>
  </si>
  <si>
    <t>TC-LGN-02</t>
  </si>
  <si>
    <t>Authenticate with Invalid Credentials</t>
  </si>
  <si>
    <t>1. Open /parabank/index.htm
2. Enter username: abc
3. Enter password: lkj
4. Click Log In</t>
  </si>
  <si>
    <t>Error message displayed; user stays on login page; URL does NOT contain 'overview'</t>
  </si>
  <si>
    <t>TC-LGN-03</t>
  </si>
  <si>
    <t>Authenticate with Empty Credentials</t>
  </si>
  <si>
    <t>1. Open /parabank/index.htm
2. Leave both fields blank
3. Click Log In</t>
  </si>
  <si>
    <t>User NOT redirected to overview; login blocked</t>
  </si>
  <si>
    <t>TC-LGN-04</t>
  </si>
  <si>
    <t>User is logged in</t>
  </si>
  <si>
    <t>1. Login to application
2. Click Logout link</t>
  </si>
  <si>
    <t>User is logged out; redirected to login/home page</t>
  </si>
  <si>
    <t>TC-OA-UI-01</t>
  </si>
  <si>
    <t>1. Navigate to 'Open New Account'
2. Select Account Type: CHECKING (value=0)
3. Pick source account
4. Click 'Open New Account'</t>
  </si>
  <si>
    <t>Congratulations header visible; new account ID link rendered</t>
  </si>
  <si>
    <t>TC-OA-UI-02</t>
  </si>
  <si>
    <t>1. Navigate to 'Open New Account'
2. Select Account Type: SAVINGS (value=1)
3. Pick source account
4. Click 'Open New Account'</t>
  </si>
  <si>
    <t>TC-TF-UI-01</t>
  </si>
  <si>
    <t>Transfer Funds Between Two Accounts via UI</t>
  </si>
  <si>
    <t>User logged in; at least 2 accounts exist</t>
  </si>
  <si>
    <t>1. Create destination account via UI
2. Go to Transfer Funds page
3. Enter transfer amount
4. Select source/destination accounts
5. Click Transfer</t>
  </si>
  <si>
    <t>'Transfer Complete!' heading visible; amount reflects entered value</t>
  </si>
  <si>
    <t>TC-NEG-UI-01</t>
  </si>
  <si>
    <t>User logged in; at least 1 account exists</t>
  </si>
  <si>
    <t>1. Go to Transfer Funds
2. Select the same account in both From and To
3. Enter amount: 100
4. Click Transfer</t>
  </si>
  <si>
    <t>Error or warning displayed; transfer should NOT complete when source = destination</t>
  </si>
  <si>
    <t>Not Implemented</t>
  </si>
  <si>
    <t>TC-NEG-UI-02</t>
  </si>
  <si>
    <t>User logged in; 2 accounts exist</t>
  </si>
  <si>
    <t>1. Go to Transfer Funds
2. Enter amount: -100
3. Select source/destination
4. Click Transfer</t>
  </si>
  <si>
    <t>Validation error shown; transfer rejected</t>
  </si>
  <si>
    <t>TC-NEG-UI-03</t>
  </si>
  <si>
    <t>1. Go to Transfer Funds
2. Enter amount: 0
3. Select source/destination
4. Click Transfer</t>
  </si>
  <si>
    <t>Validation error shown; zero-amount transfer rejected</t>
  </si>
  <si>
    <t>TC-API-01</t>
  </si>
  <si>
    <t>Test Login via API</t>
  </si>
  <si>
    <t>Valid credentials available</t>
  </si>
  <si>
    <t>1. Send GET /login/{username}/{password}
2. Inspect status code</t>
  </si>
  <si>
    <t>Status 200 OK; response body confirms login</t>
  </si>
  <si>
    <t>TC-API-02</t>
  </si>
  <si>
    <t>GET Customer Accounts Returns 200 and JSON Array</t>
  </si>
  <si>
    <t>Valid Basic Auth; customer exists</t>
  </si>
  <si>
    <t>1. Send GET /customers/{customerId}/accounts
2. Include Authorization header
3. Inspect status and body</t>
  </si>
  <si>
    <t>Status 200; response is JSON array; each item has id, customerId, type, balance</t>
  </si>
  <si>
    <t>TC-API-03</t>
  </si>
  <si>
    <t>GET Account Details by ID Returns Correct Payload</t>
  </si>
  <si>
    <t>At least one account exists</t>
  </si>
  <si>
    <t>1. GET customer accounts — capture first ID
2. Send GET /accounts/{id}
3. Validate all fields</t>
  </si>
  <si>
    <t>id matches; type is string; balance is number; customerId is correct</t>
  </si>
  <si>
    <t>TC-API-04</t>
  </si>
  <si>
    <t>GET Transactions for Account Returns Valid Array</t>
  </si>
  <si>
    <t>Account with given ID exists</t>
  </si>
  <si>
    <t>1. Capture account ID from customer accounts
2. Send GET /accounts/{id}/transactions
3. Validate response</t>
  </si>
  <si>
    <t>Status 200; response is array; if non-empty, each transaction has id, amount, type</t>
  </si>
  <si>
    <t>TC-API-05</t>
  </si>
  <si>
    <t>Create CHECKING Account via API Returns 200</t>
  </si>
  <si>
    <t>Valid Auth; customer exists</t>
  </si>
  <si>
    <t>1. POST to create account endpoint with type=CHECKING
2. Inspect status and body</t>
  </si>
  <si>
    <t>Status 200; new account object returned with id</t>
  </si>
  <si>
    <t>TC-API-06</t>
  </si>
  <si>
    <t>Create SAVINGS Account via API Returns 200</t>
  </si>
  <si>
    <t>1. POST to create account endpoint with type=SAVINGS
2. Inspect status and body</t>
  </si>
  <si>
    <t>TC-API-07</t>
  </si>
  <si>
    <t>Create LOAN Account via API Returns 200</t>
  </si>
  <si>
    <t>1. POST to create account endpoint with type=LOAN
2. Inspect status and body</t>
  </si>
  <si>
    <t>TC-API-08</t>
  </si>
  <si>
    <t>Transfer Funds via API Updates Balances</t>
  </si>
  <si>
    <t>Two accounts exist with sufficient balance</t>
  </si>
  <si>
    <t>1. Create two accounts via API
2. POST /transfer with fromAccountId, toAccountId, amount=100
3. GET both accounts and check balances</t>
  </si>
  <si>
    <t>Transfer succeeds; source balance decreases by 100; destination balance increases by 100</t>
  </si>
  <si>
    <t>TC-API-09</t>
  </si>
  <si>
    <t>Validate Account Fields and Data Types</t>
  </si>
  <si>
    <t>Accounts exist for customer</t>
  </si>
  <si>
    <t>1. GET /customers/{id}/accounts
2. Iterate each account
3. Validate id&gt;0, customerId&gt;0, type in [CHECKING,SAVINGS,LOAN], balance is numeric</t>
  </si>
  <si>
    <t>All accounts pass field and data type validation</t>
  </si>
  <si>
    <t>API accessible</t>
  </si>
  <si>
    <t>TC-E2E-01</t>
  </si>
  <si>
    <t>Create CHECKING Account via UI → Validate Exists via API</t>
  </si>
  <si>
    <t>User logged in; API accessible</t>
  </si>
  <si>
    <t>1. Create new CHECKING account via UI
2. Capture new account number from UI
3. Call GET /accounts/{id} via API
4. Compare account ID from UI vs API</t>
  </si>
  <si>
    <t>Account ID from UI matches id in API response</t>
  </si>
  <si>
    <t>TC-E2E-02</t>
  </si>
  <si>
    <t>1. Create CHECKING account via UI
2. Capture account number
3. Call GET /accounts/{id} via API
4. Assert type == CHECKING</t>
  </si>
  <si>
    <t>API returns type = 'CHECKING' matching what was selected in UI</t>
  </si>
  <si>
    <t>TC-E2E-03</t>
  </si>
  <si>
    <t>UI Fund Transfer → Validate Balance Delta via API</t>
  </si>
  <si>
    <t>User logged in; 2 accounts exist; API accessible</t>
  </si>
  <si>
    <t>1. GET balances of both accounts via API (before)
2. Transfer $100 via UI
3. GET balances via API (after)
4. Assert source balance decreased by 100
5. Assert destination balance increased by 100</t>
  </si>
  <si>
    <t>Source balance = before - 100; destination balance = before + 100</t>
  </si>
  <si>
    <t>TC-PERF-01</t>
  </si>
  <si>
    <t>1. Record start time
2. GET /customers/{id}/accounts
3. Record end time
4. Assert elapsed &lt; 2000ms</t>
  </si>
  <si>
    <t>Elapsed time &lt; 2000ms; status 200</t>
  </si>
  <si>
    <t>TC-PERF-02</t>
  </si>
  <si>
    <t>API accessible; valid credentials</t>
  </si>
  <si>
    <t>REQUIREMENT TRACEABILITY MATRIX (RTM) — ParaBank Robot Framework Capstone</t>
  </si>
  <si>
    <t>FR ID</t>
  </si>
  <si>
    <t>Requirement</t>
  </si>
  <si>
    <t>Scenario(s)</t>
  </si>
  <si>
    <t>Test Case(s)</t>
  </si>
  <si>
    <t>FR-03</t>
  </si>
  <si>
    <t>TC-API-03, TC-API-09, TC-E2E-01, TC-E2E-02</t>
  </si>
  <si>
    <t>FR-04</t>
  </si>
  <si>
    <t>TC-API-03, TC-API-09, TC-E2E-02</t>
  </si>
  <si>
    <t>FR-05</t>
  </si>
  <si>
    <t>FR-06</t>
  </si>
  <si>
    <t>TC-API-08, TC-E2E-03</t>
  </si>
  <si>
    <t>FR-07</t>
  </si>
  <si>
    <t>FR-08</t>
  </si>
  <si>
    <t>CODE REVIEW &amp; GAP ANALYSIS — Robot Framework Test Suite</t>
  </si>
  <si>
    <t>Area / File</t>
  </si>
  <si>
    <t>Issue / Observation</t>
  </si>
  <si>
    <t>Severity</t>
  </si>
  <si>
    <t>Recommendation</t>
  </si>
  <si>
    <t>Project Structure</t>
  </si>
  <si>
    <t>Structure follows the prescribed layout:
resources/keywords/, resources/pages/, tests/ui/, tests/api/, tests/e2e/, variables/, config/
✔ Aligns with Section 2.1 requirements.</t>
  </si>
  <si>
    <t>OK</t>
  </si>
  <si>
    <t>No changes needed — structure is correct.</t>
  </si>
  <si>
    <t>✔ OK</t>
  </si>
  <si>
    <t>test_create_account.robot</t>
  </si>
  <si>
    <t>All three test cases share the same ID 'TC-API-12'.
Robot Framework requires unique test names within a suite.</t>
  </si>
  <si>
    <t>Rename to TC-API-12 (CHECKING), TC-API-13 (SAVINGS), TC-API-14 (LOAN).</t>
  </si>
  <si>
    <t>❌ Fix Required</t>
  </si>
  <si>
    <t>test_fund_transfer.robot</t>
  </si>
  <si>
    <t>Negative test cases (same account, negative amount, zero amount) are commented out.
FR-09 requires negative scenario coverage. These are critical bugs logged as defects.</t>
  </si>
  <si>
    <t>Uncomment and implement the negative transfer scenarios.</t>
  </si>
  <si>
    <t>test_open_new_account.robot</t>
  </si>
  <si>
    <t>TC-OA-UI-02 is labelled 'Open New SAVINGS Account' but passes type=CHECKING.
The test name contradicts the implementation.</t>
  </si>
  <si>
    <t>Fix the label or the keyword argument — it should pass type=SAVINGS for a SAVINGS test.</t>
  </si>
  <si>
    <t>test_get_account_details.robot</t>
  </si>
  <si>
    <t>${account_Id} is set but ${accountId} is used in the GET call (case mismatch).
Robot Framework variable names are case-sensitive.</t>
  </si>
  <si>
    <t>Standardise to ${account_id} throughout the file.</t>
  </si>
  <si>
    <t>Suite Setup – Missing on Some Files</t>
  </si>
  <si>
    <t>test_open_new_account.robot is missing 'Suite Setup  Load Environment'.
Global variables (${USERNAME}, ${PASSWORD}, ${BASE_URL}) won't be loaded.</t>
  </si>
  <si>
    <t>Add 'Suite Setup  Load Environment' to test_open_new_account.robot.</t>
  </si>
  <si>
    <t>Negative API Tests</t>
  </si>
  <si>
    <t>No test file covers:
• API with wrong Basic Auth credentials
• API with non-existent customer ID
These map to FR-09 and TS-23/TS-24.</t>
  </si>
  <si>
    <t>Create test_api_negative.robot with TC-NEG-API-01 and TC-NEG-API-02.</t>
  </si>
  <si>
    <t>❌ Missing</t>
  </si>
  <si>
    <t>Performance Tests</t>
  </si>
  <si>
    <t>Section 3.5 requires:
• Capture API response times
• Fail if API &gt; 2 seconds
• 20 async GET requests
No performance test file exists in the project.</t>
  </si>
  <si>
    <t>Create tests/performance-lite/test_performance.robot with TC-PERF-01 and TC-PERF-02.</t>
  </si>
  <si>
    <t>Allure Report Integration</t>
  </si>
  <si>
    <t>Section 2.4.2.7 requires Allure report integration with screenshots.
No Allure listener config or @allure decorators observed in the code.</t>
  </si>
  <si>
    <t>Add robotframework-allure-listener to requirements.txt and configure in robot run command.</t>
  </si>
  <si>
    <t>CI/CD Pipeline</t>
  </si>
  <si>
    <t>Section 3.2 requires a GitHub Actions YAML (or Jenkins).
No .github/workflows/ directory is present in the project.</t>
  </si>
  <si>
    <t>Create .github/workflows/robot_tests.yml with steps for install, run, and publish HTML/Allure report.</t>
  </si>
  <si>
    <t>Pabot Parallel Execution</t>
  </si>
  <si>
    <t>Section 3.1.1 requires Pabot for parallel execution.
pabot is not listed in requirements.txt.</t>
  </si>
  <si>
    <t>Add robotframework-pabot to requirements.txt and create a pabot config file.</t>
  </si>
  <si>
    <t>MCP / RobotMCP Integration</t>
  </si>
  <si>
    <t>Section 3.4 requires RobotMCP integration for script generation and execution.
Not implemented.</t>
  </si>
  <si>
    <t>Implement basic RobotMCP integration as per Section 3.4 requirements.</t>
  </si>
  <si>
    <t>AI-Assisted Test Data</t>
  </si>
  <si>
    <t>Section 3.3 requires AI-generated test data utility (e.g. GitHub Copilot generated random data).
Not observed in the codebase.</t>
  </si>
  <si>
    <t>Create utils/test_data_generator.py and use AI-generated data in automation scripts.</t>
  </si>
  <si>
    <t>AI Failure Analysis Report</t>
  </si>
  <si>
    <t>Section 3.3 requires an AI-generated HTML failure analysis report with failure count, reason, historical analysis.
Not implemented.</t>
  </si>
  <si>
    <t>Create utils/failure_analysis.py that generates HTML report from Robot output.xml.</t>
  </si>
  <si>
    <t>Tagging</t>
  </si>
  <si>
    <t>Section 3.1.2 requires test tagging: @smoke, @regression, @api, @e2e.
No [Tags] metadata observed in any test file.</t>
  </si>
  <si>
    <t>Add [Tags] to each test case. Example: [Tags]  smoke  regression  ui</t>
  </si>
  <si>
    <t>Data-Driven Tests</t>
  </si>
  <si>
    <t>Section 3.1.2 requires data-driven tests using CSV/JSON.
Not implemented.</t>
  </si>
  <si>
    <t>Low</t>
  </si>
  <si>
    <t>Implement at least one data-driven test using Robot Framework's data-driven style or external CSV/JSON.</t>
  </si>
  <si>
    <t>Smart Waiting</t>
  </si>
  <si>
    <t>Section 2.2 recommends 'Smart Waiting Instead of Sleep'.
No explicit Sleep calls detected — good practice followed.</t>
  </si>
  <si>
    <t>Continue using wait_until/explicit waits from SeleniumLibrary.</t>
  </si>
  <si>
    <t>Fresh Browser Context</t>
  </si>
  <si>
    <t>Test Setup / Test Teardown with Open Application / Close Application in every suite.
✔ Aligns with Section 2.2 best practice.</t>
  </si>
  <si>
    <t>Good practice — keep this pattern.</t>
  </si>
  <si>
    <t>API Logging</t>
  </si>
  <si>
    <t>Section 2.3 requires all API requests and responses to be logged.
Log To Console is used in API tests but not structured logging.</t>
  </si>
  <si>
    <t>Use Robot Framework's built-in LOG keyword and Python logging module for structured API logs.</t>
  </si>
  <si>
    <t>⚠ Improve</t>
  </si>
  <si>
    <t>Cross Validation File Naming</t>
  </si>
  <si>
    <t>test_cross_validation.robot, test_cross_validation1.robot, test_cross_validation2.robot.
All three files contain a test named 'E2E-01' — names should be unique and descriptive.</t>
  </si>
  <si>
    <t>Rename files and test cases: test_e2e_account_exists.robot, test_e2e_account_type.robot, test_e2e_fund_transfer.robot</t>
  </si>
  <si>
    <t>TEST EXECUTION SUMMARY — ParaBank Robot Framework Capstone</t>
  </si>
  <si>
    <t>Project</t>
  </si>
  <si>
    <t>ParaBank Robot Framework Capstone</t>
  </si>
  <si>
    <t>Executed By</t>
  </si>
  <si>
    <t>Execution Date</t>
  </si>
  <si>
    <t>June 2026</t>
  </si>
  <si>
    <t>Environment</t>
  </si>
  <si>
    <t>https://parabank.parasoft.com | Python 3.11 | Robot Framework</t>
  </si>
  <si>
    <t>Total Test Cases</t>
  </si>
  <si>
    <t>Fail</t>
  </si>
  <si>
    <t>Blocked</t>
  </si>
  <si>
    <t>Pass Rate</t>
  </si>
  <si>
    <t>Type</t>
  </si>
  <si>
    <t>Tags</t>
  </si>
  <si>
    <t>Browser/Tool</t>
  </si>
  <si>
    <t>Execution Time</t>
  </si>
  <si>
    <t>Defect ID</t>
  </si>
  <si>
    <t>smoke, regression</t>
  </si>
  <si>
    <t>Chrome</t>
  </si>
  <si>
    <t>~5s</t>
  </si>
  <si>
    <t>~3s</t>
  </si>
  <si>
    <t>smoke, regression, negative</t>
  </si>
  <si>
    <t>negative</t>
  </si>
  <si>
    <t>~2s</t>
  </si>
  <si>
    <t>regression</t>
  </si>
  <si>
    <t>~8s</t>
  </si>
  <si>
    <t>~10s</t>
  </si>
  <si>
    <t>Transfer to Same Account – Should Be Rejected</t>
  </si>
  <si>
    <t>Transfer with Negative Amount – Should Be Rejected</t>
  </si>
  <si>
    <t>Transfer with Zero Amount – Should Be Rejected</t>
  </si>
  <si>
    <t>api, smoke</t>
  </si>
  <si>
    <t>RequestsLibrary</t>
  </si>
  <si>
    <t>~1s</t>
  </si>
  <si>
    <t>api, regression</t>
  </si>
  <si>
    <t>api</t>
  </si>
  <si>
    <t>api, smoke, regression</t>
  </si>
  <si>
    <t>Create CHECKING Account via UI → Validate via API</t>
  </si>
  <si>
    <t>e2e, smoke</t>
  </si>
  <si>
    <t>Chrome + RequestsLibrary</t>
  </si>
  <si>
    <t>~12s</t>
  </si>
  <si>
    <t>e2e, regression</t>
  </si>
  <si>
    <t>~18s</t>
  </si>
  <si>
    <t>API Response Time Under 2 Seconds</t>
  </si>
  <si>
    <t>Performance</t>
  </si>
  <si>
    <t>performance</t>
  </si>
  <si>
    <t>DEFECT REPORT — ParaBank Robot Framework Capstone</t>
  </si>
  <si>
    <t>Title</t>
  </si>
  <si>
    <t>Steps to Reproduce</t>
  </si>
  <si>
    <t>Expected</t>
  </si>
  <si>
    <t>Actual</t>
  </si>
  <si>
    <t>DEF-001</t>
  </si>
  <si>
    <t>1. Login
2. Go to Transfer Funds
3. Enter amount: -100
4. Select source/destination
5. Click Transfer</t>
  </si>
  <si>
    <t>Validation error: 'Amount must be greater than zero'</t>
  </si>
  <si>
    <t>Open</t>
  </si>
  <si>
    <t>DEF-002</t>
  </si>
  <si>
    <t>1. Login
2. Go to Transfer Funds
3. Enter amount: 0
4. Select accounts
5. Click Transfer</t>
  </si>
  <si>
    <t>'$0.00 transferred' — zero transfer succeeds</t>
  </si>
  <si>
    <t>DEF-003</t>
  </si>
  <si>
    <t>Self-Transfer Allowed — Same Account as Source and Destination</t>
  </si>
  <si>
    <t>1. Login
2. Go to Transfer Funds
3. Select same account in both From and To
4. Enter amount: 100
5. Click Transfer</t>
  </si>
  <si>
    <t>Error: 'Source and destination accounts cannot be the same'</t>
  </si>
  <si>
    <t>Transfer completes — self-transfer recorded as valid</t>
  </si>
  <si>
    <t>DEF-004</t>
  </si>
  <si>
    <t>FINAL TEST SUMMARY REPORT — ParaBank Robot Framework Capstone</t>
  </si>
  <si>
    <t>PROJECT</t>
  </si>
  <si>
    <t>AUTHOR</t>
  </si>
  <si>
    <t>DATE</t>
  </si>
  <si>
    <t>OBJECTIVE</t>
  </si>
  <si>
    <t>Validate end-to-end account lifecycle and fund transfer flows using Robot Framework across UI, API, and Hybrid layers — ensuring data integrity, response correctness, and error handling.</t>
  </si>
  <si>
    <t>── EXECUTION SUMMARY ──</t>
  </si>
  <si>
    <t>Total Test Cases Designed</t>
  </si>
  <si>
    <t>29</t>
  </si>
  <si>
    <t>Total Test Cases Automated</t>
  </si>
  <si>
    <t>20</t>
  </si>
  <si>
    <t>Total Test Cases Executed</t>
  </si>
  <si>
    <t>Passed</t>
  </si>
  <si>
    <t>Failed</t>
  </si>
  <si>
    <t>0</t>
  </si>
  <si>
    <t>9 (Negative + Performance TCs)</t>
  </si>
  <si>
    <t>Pass Rate (Executed)</t>
  </si>
  <si>
    <t>100% (20/20)</t>
  </si>
  <si>
    <t>── TEST TYPE BREAKDOWN ──</t>
  </si>
  <si>
    <t>UI Tests</t>
  </si>
  <si>
    <t>9 automated — 9 Passed</t>
  </si>
  <si>
    <t>API Tests</t>
  </si>
  <si>
    <t>Hybrid E2E Tests</t>
  </si>
  <si>
    <t>3 automated — 3 Passed</t>
  </si>
  <si>
    <t>0 implemented — 2 required by Section 3.5</t>
  </si>
  <si>
    <t>Negative Tests</t>
  </si>
  <si>
    <t>3 UI negatives commented out; 2 API negatives not created</t>
  </si>
  <si>
    <t>── REQUIREMENTS COVERAGE ──</t>
  </si>
  <si>
    <t>FR-01 – Create account via UI</t>
  </si>
  <si>
    <t>✔ Covered</t>
  </si>
  <si>
    <t>FR-02 – GET accounts via API</t>
  </si>
  <si>
    <t>⚠ Partially — performance checks missing</t>
  </si>
  <si>
    <t>FR-03 – Validate account exists in API</t>
  </si>
  <si>
    <t>FR-04 – Validate account type and details</t>
  </si>
  <si>
    <t>FR-05 – Transfer funds via UI</t>
  </si>
  <si>
    <t>⚠ Partially — negative transfer TCs commented out</t>
  </si>
  <si>
    <t>FR-06 – Validate updated balances via API</t>
  </si>
  <si>
    <t>FR-07 – Validate transfer before/after</t>
  </si>
  <si>
    <t>FR-08 – Validate UI messages</t>
  </si>
  <si>
    <t>FR-09 – Validate negative scenarios</t>
  </si>
  <si>
    <t>⚠ Partially — several negative TCs missing/commented</t>
  </si>
  <si>
    <t>Overall FR Coverage</t>
  </si>
  <si>
    <t>7/9 fully covered | 2/9 partially covered</t>
  </si>
  <si>
    <t>── DEFECTS SUMMARY ──</t>
  </si>
  <si>
    <t>Total Defects Found</t>
  </si>
  <si>
    <t>8</t>
  </si>
  <si>
    <t>7 (DEF-001 to DEF-007)</t>
  </si>
  <si>
    <t>1 (DEF-005)</t>
  </si>
  <si>
    <t>Application Bugs</t>
  </si>
  <si>
    <t>DEF-001, DEF-002, DEF-003 (transfer validation)</t>
  </si>
  <si>
    <t>Automation/Code Bugs</t>
  </si>
  <si>
    <t>DEF-004 (duplicate IDs), DEF-005 (wrong type), DEF-006 (variable), DEF-007 (suite setup)</t>
  </si>
  <si>
    <t>── AUTOMATION FRAMEWORK ──</t>
  </si>
  <si>
    <t>Framework</t>
  </si>
  <si>
    <t>Robot Framework + Python</t>
  </si>
  <si>
    <t>Pattern</t>
  </si>
  <si>
    <t>POM + API Fixtures + (Pabot for parallel — not yet configured)</t>
  </si>
  <si>
    <t>Browsers</t>
  </si>
  <si>
    <t>Reporting</t>
  </si>
  <si>
    <t>Robot Framework Built-in (log.html, report.html)</t>
  </si>
  <si>
    <t>CI/CD</t>
  </si>
  <si>
    <t>Not implemented — GitHub Actions YAML required</t>
  </si>
  <si>
    <t>── MISSING SECTIONS (Action Required) ──</t>
  </si>
  <si>
    <t>Parallel Execution (Pabot)</t>
  </si>
  <si>
    <t>Not configured — Section 3.1.1 requirement</t>
  </si>
  <si>
    <t>No .github/workflows/ YAML — Section 3.2 requirement</t>
  </si>
  <si>
    <t>AI-Driven Enhancements</t>
  </si>
  <si>
    <t>Test data generator and failure analysis report not implemented — Section 3.3</t>
  </si>
  <si>
    <t>MCP Integration</t>
  </si>
  <si>
    <t>RobotMCP not implemented — Section 3.4 requirement</t>
  </si>
  <si>
    <t>Performance suite not created — Section 3.5 requirement</t>
  </si>
  <si>
    <t>Allure Reports</t>
  </si>
  <si>
    <t>Not configured — Section 2.4.2.7 requirement</t>
  </si>
  <si>
    <t>── SIGN-OFF ──</t>
  </si>
  <si>
    <t>Core automation (UI + API + Hybrid) is implemented and passes. Multiple required sections are incomplete: CI/CD, performance, Allure, AI enhancements, negative TCs, and MCP. Code quality issues (duplicate IDs, variable mismatch, missing suite setup) must be fixed before final submission.</t>
  </si>
  <si>
    <t>GET Customer Accounts Validate Status Code</t>
  </si>
  <si>
    <t>GET Account Details by ID</t>
  </si>
  <si>
    <t>GET Transactions for Account ID</t>
  </si>
  <si>
    <t>Create CHECKING Account via API</t>
  </si>
  <si>
    <t>Create LOAN Account via API</t>
  </si>
  <si>
    <t>Defect</t>
  </si>
  <si>
    <t>Actual Result</t>
  </si>
  <si>
    <t>Transfer Complete!'</t>
  </si>
  <si>
    <t>'Transfer Complete!'</t>
  </si>
  <si>
    <t>Register User with Password and Confirm Password Mismatch</t>
  </si>
  <si>
    <t>Register User with Empty/Blank Fields</t>
  </si>
  <si>
    <t>Register User That Is Already Exsisting</t>
  </si>
  <si>
    <t>1. Navigate to Register page
2. Fill all mandatory fields with valid data
3. Password and confirm password field should not be same.                                                                    4.Click Register</t>
  </si>
  <si>
    <t>Registration unsuccessful; user get a prompt "Passwords did not match"</t>
  </si>
  <si>
    <t>1. Navigate to Register page
2. Leave all the fields empty
3. Click Register</t>
  </si>
  <si>
    <t>Registration unsuccessful; user gets a prompt "fields are required."</t>
  </si>
  <si>
    <t>1. Navigate to Register page
2. Fill all mandatory fields with valid data of an existing user.
3. Click Register</t>
  </si>
  <si>
    <t>Registration unsuccessful; user gets a prompt "This username already exists."</t>
  </si>
  <si>
    <t>5 Concurrent API Requests</t>
  </si>
  <si>
    <t>1. Build 5 GET requests to get account details.
2. Execute all asynchronously
3. Assert all responses</t>
  </si>
  <si>
    <t>All 5 responses return HTTP 400 as all are invaild creds</t>
  </si>
  <si>
    <t xml:space="preserve">All 5 responses return HTTP </t>
  </si>
  <si>
    <t>TC-UI-02</t>
  </si>
  <si>
    <t>TC-UI-03</t>
  </si>
  <si>
    <t>TC-UI-04</t>
  </si>
  <si>
    <t>TC-DD-01</t>
  </si>
  <si>
    <t>TC-NEG-LGN-02</t>
  </si>
  <si>
    <t>TC-NEG-LGN-03</t>
  </si>
  <si>
    <t>TC-NEG-TF-02</t>
  </si>
  <si>
    <t>TC-NEG-TF-03</t>
  </si>
  <si>
    <t>TC-TF-01</t>
  </si>
  <si>
    <t>TC-NEG-TF-04</t>
  </si>
  <si>
    <t>TC-NEG-TF-05</t>
  </si>
  <si>
    <t>Error or warning displayed; transfer should NOT complete.</t>
  </si>
  <si>
    <t>User Registration</t>
  </si>
  <si>
    <t>Verify user registration functionality with valid and invalid inputs.</t>
  </si>
  <si>
    <t>UI Functional</t>
  </si>
  <si>
    <t>Account Creation</t>
  </si>
  <si>
    <t>Verify users can create different account types (Checking, Savings, Loan) through UI and API.</t>
  </si>
  <si>
    <t>UI/API Functional</t>
  </si>
  <si>
    <t>User Authentication</t>
  </si>
  <si>
    <t>Verify login and logout functionality with valid and invalid credentials.</t>
  </si>
  <si>
    <t>Account Information Retrieval</t>
  </si>
  <si>
    <t>Verify account details, account lists, and transaction history can be retrieved correctly.</t>
  </si>
  <si>
    <t>FR-02, FR-03, FR-04</t>
  </si>
  <si>
    <t>API Functional</t>
  </si>
  <si>
    <t>Fund Transfer</t>
  </si>
  <si>
    <t>Verify successful fund transfer between accounts through UI and API.</t>
  </si>
  <si>
    <t>FR-05, FR-06, FR-07, FR-08</t>
  </si>
  <si>
    <t>Input Validation &amp; Error Handling</t>
  </si>
  <si>
    <t>Verify application handles invalid transfers, invalid credentials, duplicate users, and other negative scenarios correctly.</t>
  </si>
  <si>
    <t>Negative Testing</t>
  </si>
  <si>
    <t>End-to-End Business Flow Validation</t>
  </si>
  <si>
    <t>Verify UI actions are reflected correctly in backend APIs.</t>
  </si>
  <si>
    <t>FR-01 to FR-07</t>
  </si>
  <si>
    <t>E2E Testing</t>
  </si>
  <si>
    <t>API Schema &amp; Data Validation</t>
  </si>
  <si>
    <t>Verify API responses contain correct fields, data types, and business values.</t>
  </si>
  <si>
    <t>API Validation</t>
  </si>
  <si>
    <t>Performance Validation</t>
  </si>
  <si>
    <t>Verify API response times and concurrent request handling meet requirements.</t>
  </si>
  <si>
    <t>User registration and account creation</t>
  </si>
  <si>
    <t>TS-01, TS-02, TS-07</t>
  </si>
  <si>
    <t>TC-UI-01, TC-UI-02, TC-UI-03, TC-UI-04, TC-OA-UI-01, TC-OA-UI-02, TC-API-05, TC-API-06, TC-API-07, TC-E2E-01</t>
  </si>
  <si>
    <t>Retrieve account and transaction information</t>
  </si>
  <si>
    <t>TS-04, TS-07, TS-08, TS-09</t>
  </si>
  <si>
    <t>TC-API-02, TC-API-04, TC-API-09, TC-E2E-01, TC-PERF-01, TC-DD-01</t>
  </si>
  <si>
    <t>Validate account existence and account details</t>
  </si>
  <si>
    <t>TS-04, TS-07, TS-08</t>
  </si>
  <si>
    <t>Validate account type and account information</t>
  </si>
  <si>
    <t>Fund transfer functionality</t>
  </si>
  <si>
    <t>TS-05, TS-06, TS-07</t>
  </si>
  <si>
    <t>TC-TF-01, TC-API-08, TC-E2E-03, TC-NEG-TF-02, TC-NEG-TF-03, TC-NEG-TF-04, TC-NEG-TF-05</t>
  </si>
  <si>
    <t>Validate balance updates after transfer</t>
  </si>
  <si>
    <t>TS-05, TS-07</t>
  </si>
  <si>
    <t>Validate transfer balance calculations</t>
  </si>
  <si>
    <t>Validate success and confirmation messages</t>
  </si>
  <si>
    <t>TS-02, TS-05</t>
  </si>
  <si>
    <t>TC-OA-UI-01, TC-OA-UI-02, TC-TF-01</t>
  </si>
  <si>
    <t>Authentication and negative validations</t>
  </si>
  <si>
    <t>TS-03, TS-06</t>
  </si>
  <si>
    <t>TC-LGN-01, TC-NEG-LGN-02, TC-NEG-LGN-03, TC-LGN-04, TC-API-01, TC-NEG-TF-02, TC-NEG-TF-03, TC-NEG-TF-04, TC-NEG-TF-05</t>
  </si>
  <si>
    <t>Amount Greater Than the Account Balance</t>
  </si>
  <si>
    <t xml:space="preserve">Zero Amount Transfer </t>
  </si>
  <si>
    <t>Negative Amount Transfer</t>
  </si>
  <si>
    <t>Validation error: 'Amount can't be greater than the account balance'</t>
  </si>
  <si>
    <t xml:space="preserve">Transfer completes — and the balance of the source account is negative </t>
  </si>
  <si>
    <t>Transfer completes with negative amount — no error shown and reverse transaction occurs</t>
  </si>
  <si>
    <t>5 Concurrent API Requests All Return 200</t>
  </si>
  <si>
    <t>Transfer Amount Greater Than The Balance – Should Be Rejected</t>
  </si>
  <si>
    <t>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</si>
</sst>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1F3864"/>
      <name val="Arial"/>
    </font>
    <font>
      <sz val="10"/>
      <color rgb="FF00000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2F7FC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FF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2" borderId="1" xfId="0" quotePrefix="1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opLeftCell="A8" workbookViewId="0">
      <selection sqref="A1:B1"/>
    </sheetView>
  </sheetViews>
  <sheetFormatPr defaultRowHeight="15" x14ac:dyDescent="0.25"/>
  <cols>
    <col min="1" max="1" width="22" customWidth="1"/>
    <col min="2" max="2" width="90" customWidth="1"/>
  </cols>
  <sheetData>
    <row r="1" spans="1:2" ht="35.1" customHeight="1" x14ac:dyDescent="0.25">
      <c r="A1" s="26" t="s">
        <v>0</v>
      </c>
      <c r="B1" s="25"/>
    </row>
    <row r="2" spans="1:2" ht="60" customHeight="1" x14ac:dyDescent="0.25">
      <c r="A2" s="1" t="s">
        <v>1</v>
      </c>
      <c r="B2" s="2" t="s">
        <v>2</v>
      </c>
    </row>
    <row r="3" spans="1:2" ht="60" customHeight="1" x14ac:dyDescent="0.25">
      <c r="A3" s="1" t="s">
        <v>3</v>
      </c>
      <c r="B3" s="3" t="s">
        <v>4</v>
      </c>
    </row>
    <row r="4" spans="1:2" ht="60" customHeight="1" x14ac:dyDescent="0.25">
      <c r="A4" s="1" t="s">
        <v>5</v>
      </c>
      <c r="B4" s="2" t="s">
        <v>6</v>
      </c>
    </row>
    <row r="5" spans="1:2" ht="60" customHeight="1" x14ac:dyDescent="0.25">
      <c r="A5" s="1" t="s">
        <v>7</v>
      </c>
      <c r="B5" s="3" t="s">
        <v>8</v>
      </c>
    </row>
    <row r="6" spans="1:2" ht="60" customHeight="1" x14ac:dyDescent="0.25">
      <c r="A6" s="1" t="s">
        <v>9</v>
      </c>
      <c r="B6" s="2" t="s">
        <v>10</v>
      </c>
    </row>
    <row r="7" spans="1:2" ht="60" customHeight="1" x14ac:dyDescent="0.25">
      <c r="A7" s="1" t="s">
        <v>11</v>
      </c>
      <c r="B7" s="3" t="s">
        <v>12</v>
      </c>
    </row>
    <row r="8" spans="1:2" ht="60" customHeight="1" x14ac:dyDescent="0.25">
      <c r="A8" s="1" t="s">
        <v>13</v>
      </c>
      <c r="B8" s="2" t="s">
        <v>14</v>
      </c>
    </row>
    <row r="9" spans="1:2" ht="60" customHeight="1" x14ac:dyDescent="0.25">
      <c r="A9" s="1" t="s">
        <v>15</v>
      </c>
      <c r="B9" s="3" t="s">
        <v>16</v>
      </c>
    </row>
    <row r="10" spans="1:2" ht="60" customHeight="1" x14ac:dyDescent="0.25">
      <c r="A10" s="1" t="s">
        <v>17</v>
      </c>
      <c r="B10" s="2" t="s">
        <v>18</v>
      </c>
    </row>
    <row r="11" spans="1:2" ht="60" customHeight="1" x14ac:dyDescent="0.25">
      <c r="A11" s="1" t="s">
        <v>19</v>
      </c>
      <c r="B11" s="3" t="s">
        <v>20</v>
      </c>
    </row>
    <row r="12" spans="1:2" ht="60" customHeight="1" x14ac:dyDescent="0.25">
      <c r="A12" s="1" t="s">
        <v>21</v>
      </c>
      <c r="B12" s="2" t="s">
        <v>22</v>
      </c>
    </row>
    <row r="13" spans="1:2" ht="60" customHeight="1" x14ac:dyDescent="0.25">
      <c r="A13" s="1" t="s">
        <v>23</v>
      </c>
      <c r="B13" s="3" t="s">
        <v>24</v>
      </c>
    </row>
    <row r="14" spans="1:2" ht="60" customHeight="1" x14ac:dyDescent="0.25">
      <c r="A14" s="1" t="s">
        <v>25</v>
      </c>
      <c r="B14" s="2" t="s">
        <v>26</v>
      </c>
    </row>
    <row r="15" spans="1:2" ht="60" customHeight="1" x14ac:dyDescent="0.25">
      <c r="A15" s="1" t="s">
        <v>27</v>
      </c>
      <c r="B15" s="3" t="s">
        <v>28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="131" workbookViewId="0">
      <pane ySplit="1" topLeftCell="A2" activePane="bottomLeft" state="frozen"/>
      <selection pane="bottomLeft" activeCell="B16" sqref="B16"/>
    </sheetView>
  </sheetViews>
  <sheetFormatPr defaultRowHeight="15" x14ac:dyDescent="0.25"/>
  <cols>
    <col min="1" max="1" width="14" customWidth="1"/>
    <col min="2" max="2" width="34" customWidth="1"/>
    <col min="3" max="3" width="50" customWidth="1"/>
    <col min="4" max="4" width="18" customWidth="1"/>
    <col min="5" max="5" width="12" customWidth="1"/>
    <col min="6" max="6" width="10" customWidth="1"/>
    <col min="7" max="7" width="42" customWidth="1"/>
  </cols>
  <sheetData>
    <row r="1" spans="1:7" ht="30" customHeight="1" x14ac:dyDescent="0.25">
      <c r="A1" s="24" t="s">
        <v>29</v>
      </c>
      <c r="B1" s="25"/>
      <c r="C1" s="25"/>
      <c r="D1" s="25"/>
      <c r="E1" s="25"/>
      <c r="F1" s="25"/>
      <c r="G1" s="25"/>
    </row>
    <row r="2" spans="1:7" x14ac:dyDescent="0.25">
      <c r="A2" s="22" t="s">
        <v>30</v>
      </c>
      <c r="B2" s="22" t="s">
        <v>31</v>
      </c>
      <c r="C2" s="22" t="s">
        <v>32</v>
      </c>
      <c r="D2" s="22" t="s">
        <v>33</v>
      </c>
      <c r="E2" s="22" t="s">
        <v>34</v>
      </c>
    </row>
    <row r="3" spans="1:7" ht="30" x14ac:dyDescent="0.25">
      <c r="A3" s="23" t="s">
        <v>35</v>
      </c>
      <c r="B3" s="23" t="s">
        <v>449</v>
      </c>
      <c r="C3" s="23" t="s">
        <v>450</v>
      </c>
      <c r="D3" s="23" t="s">
        <v>36</v>
      </c>
      <c r="E3" s="23" t="s">
        <v>451</v>
      </c>
    </row>
    <row r="4" spans="1:7" ht="30" x14ac:dyDescent="0.25">
      <c r="A4" s="23" t="s">
        <v>39</v>
      </c>
      <c r="B4" s="23" t="s">
        <v>452</v>
      </c>
      <c r="C4" s="23" t="s">
        <v>453</v>
      </c>
      <c r="D4" s="23" t="s">
        <v>41</v>
      </c>
      <c r="E4" s="23" t="s">
        <v>454</v>
      </c>
    </row>
    <row r="5" spans="1:7" ht="30" x14ac:dyDescent="0.25">
      <c r="A5" s="23" t="s">
        <v>42</v>
      </c>
      <c r="B5" s="23" t="s">
        <v>455</v>
      </c>
      <c r="C5" s="23" t="s">
        <v>456</v>
      </c>
      <c r="D5" s="23" t="s">
        <v>45</v>
      </c>
      <c r="E5" s="23" t="s">
        <v>451</v>
      </c>
    </row>
    <row r="6" spans="1:7" ht="30" x14ac:dyDescent="0.25">
      <c r="A6" s="23" t="s">
        <v>44</v>
      </c>
      <c r="B6" s="23" t="s">
        <v>457</v>
      </c>
      <c r="C6" s="23" t="s">
        <v>458</v>
      </c>
      <c r="D6" s="23" t="s">
        <v>459</v>
      </c>
      <c r="E6" s="23" t="s">
        <v>460</v>
      </c>
    </row>
    <row r="7" spans="1:7" ht="30" x14ac:dyDescent="0.25">
      <c r="A7" s="23" t="s">
        <v>46</v>
      </c>
      <c r="B7" s="23" t="s">
        <v>461</v>
      </c>
      <c r="C7" s="23" t="s">
        <v>462</v>
      </c>
      <c r="D7" s="23" t="s">
        <v>463</v>
      </c>
      <c r="E7" s="23" t="s">
        <v>454</v>
      </c>
    </row>
    <row r="8" spans="1:7" ht="45" x14ac:dyDescent="0.25">
      <c r="A8" s="23" t="s">
        <v>47</v>
      </c>
      <c r="B8" s="23" t="s">
        <v>464</v>
      </c>
      <c r="C8" s="23" t="s">
        <v>465</v>
      </c>
      <c r="D8" s="23" t="s">
        <v>74</v>
      </c>
      <c r="E8" s="23" t="s">
        <v>466</v>
      </c>
    </row>
    <row r="9" spans="1:7" ht="30" x14ac:dyDescent="0.25">
      <c r="A9" s="23" t="s">
        <v>48</v>
      </c>
      <c r="B9" s="23" t="s">
        <v>467</v>
      </c>
      <c r="C9" s="23" t="s">
        <v>468</v>
      </c>
      <c r="D9" s="23" t="s">
        <v>469</v>
      </c>
      <c r="E9" s="23" t="s">
        <v>470</v>
      </c>
    </row>
    <row r="10" spans="1:7" ht="30" x14ac:dyDescent="0.25">
      <c r="A10" s="23" t="s">
        <v>51</v>
      </c>
      <c r="B10" s="23" t="s">
        <v>471</v>
      </c>
      <c r="C10" s="23" t="s">
        <v>472</v>
      </c>
      <c r="D10" s="23" t="s">
        <v>459</v>
      </c>
      <c r="E10" s="23" t="s">
        <v>473</v>
      </c>
    </row>
    <row r="11" spans="1:7" ht="30" x14ac:dyDescent="0.25">
      <c r="A11" s="23" t="s">
        <v>53</v>
      </c>
      <c r="B11" s="23" t="s">
        <v>474</v>
      </c>
      <c r="C11" s="23" t="s">
        <v>475</v>
      </c>
      <c r="D11" s="23" t="s">
        <v>57</v>
      </c>
      <c r="E11" s="23" t="s">
        <v>320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zoomScale="102" workbookViewId="0">
      <pane ySplit="2" topLeftCell="A11" activePane="bottomLeft" state="frozen"/>
      <selection pane="bottomLeft" activeCell="A14" sqref="A14"/>
    </sheetView>
  </sheetViews>
  <sheetFormatPr defaultRowHeight="15" x14ac:dyDescent="0.25"/>
  <cols>
    <col min="1" max="1" width="18" customWidth="1"/>
    <col min="2" max="2" width="12" customWidth="1"/>
    <col min="3" max="3" width="36" customWidth="1"/>
    <col min="4" max="4" width="12" customWidth="1"/>
    <col min="5" max="5" width="28" customWidth="1"/>
    <col min="6" max="6" width="46" customWidth="1"/>
    <col min="7" max="8" width="40" customWidth="1"/>
    <col min="9" max="10" width="14" customWidth="1"/>
  </cols>
  <sheetData>
    <row r="1" spans="1:10" ht="30" customHeight="1" x14ac:dyDescent="0.25">
      <c r="A1" s="24" t="s">
        <v>81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21.95" customHeight="1" x14ac:dyDescent="0.25">
      <c r="A2" s="4" t="s">
        <v>82</v>
      </c>
      <c r="B2" s="4" t="s">
        <v>30</v>
      </c>
      <c r="C2" s="4" t="s">
        <v>83</v>
      </c>
      <c r="D2" s="4" t="s">
        <v>34</v>
      </c>
      <c r="E2" s="4" t="s">
        <v>84</v>
      </c>
      <c r="F2" s="4" t="s">
        <v>85</v>
      </c>
      <c r="G2" s="4" t="s">
        <v>86</v>
      </c>
      <c r="H2" s="4" t="s">
        <v>421</v>
      </c>
      <c r="I2" s="4" t="s">
        <v>33</v>
      </c>
      <c r="J2" s="4" t="s">
        <v>87</v>
      </c>
    </row>
    <row r="3" spans="1:10" ht="38.25" x14ac:dyDescent="0.25">
      <c r="A3" s="5" t="s">
        <v>88</v>
      </c>
      <c r="B3" s="5" t="s">
        <v>35</v>
      </c>
      <c r="C3" s="2" t="s">
        <v>89</v>
      </c>
      <c r="D3" s="5" t="s">
        <v>37</v>
      </c>
      <c r="E3" s="2" t="s">
        <v>90</v>
      </c>
      <c r="F3" s="2" t="s">
        <v>91</v>
      </c>
      <c r="G3" s="2" t="s">
        <v>92</v>
      </c>
      <c r="H3" s="2" t="s">
        <v>92</v>
      </c>
      <c r="I3" s="5" t="s">
        <v>36</v>
      </c>
      <c r="J3" s="7" t="s">
        <v>93</v>
      </c>
    </row>
    <row r="4" spans="1:10" ht="63.75" x14ac:dyDescent="0.25">
      <c r="A4" s="5" t="s">
        <v>437</v>
      </c>
      <c r="B4" s="5" t="s">
        <v>35</v>
      </c>
      <c r="C4" s="2" t="s">
        <v>424</v>
      </c>
      <c r="D4" s="5" t="s">
        <v>37</v>
      </c>
      <c r="E4" s="2" t="s">
        <v>90</v>
      </c>
      <c r="F4" s="2" t="s">
        <v>427</v>
      </c>
      <c r="G4" s="2" t="s">
        <v>428</v>
      </c>
      <c r="H4" s="2" t="s">
        <v>428</v>
      </c>
      <c r="I4" s="5" t="s">
        <v>36</v>
      </c>
      <c r="J4" s="7" t="s">
        <v>93</v>
      </c>
    </row>
    <row r="5" spans="1:10" ht="38.25" x14ac:dyDescent="0.25">
      <c r="A5" s="5" t="s">
        <v>438</v>
      </c>
      <c r="B5" s="5" t="s">
        <v>35</v>
      </c>
      <c r="C5" s="2" t="s">
        <v>425</v>
      </c>
      <c r="D5" s="5" t="s">
        <v>37</v>
      </c>
      <c r="E5" s="2" t="s">
        <v>90</v>
      </c>
      <c r="F5" s="2" t="s">
        <v>429</v>
      </c>
      <c r="G5" s="2" t="s">
        <v>430</v>
      </c>
      <c r="H5" s="2" t="s">
        <v>430</v>
      </c>
      <c r="I5" s="5" t="s">
        <v>36</v>
      </c>
      <c r="J5" s="7" t="s">
        <v>93</v>
      </c>
    </row>
    <row r="6" spans="1:10" ht="51" x14ac:dyDescent="0.25">
      <c r="A6" s="5" t="s">
        <v>439</v>
      </c>
      <c r="B6" s="5" t="s">
        <v>35</v>
      </c>
      <c r="C6" s="2" t="s">
        <v>426</v>
      </c>
      <c r="D6" s="5" t="s">
        <v>37</v>
      </c>
      <c r="E6" s="2" t="s">
        <v>90</v>
      </c>
      <c r="F6" s="2" t="s">
        <v>431</v>
      </c>
      <c r="G6" s="2" t="s">
        <v>432</v>
      </c>
      <c r="H6" s="2" t="s">
        <v>432</v>
      </c>
      <c r="I6" s="5" t="s">
        <v>36</v>
      </c>
      <c r="J6" s="7" t="s">
        <v>93</v>
      </c>
    </row>
    <row r="7" spans="1:10" ht="51" x14ac:dyDescent="0.25">
      <c r="A7" s="6" t="s">
        <v>94</v>
      </c>
      <c r="B7" s="6" t="s">
        <v>44</v>
      </c>
      <c r="C7" s="3" t="s">
        <v>95</v>
      </c>
      <c r="D7" s="6" t="s">
        <v>37</v>
      </c>
      <c r="E7" s="3" t="s">
        <v>90</v>
      </c>
      <c r="F7" s="3" t="s">
        <v>96</v>
      </c>
      <c r="G7" s="3" t="s">
        <v>97</v>
      </c>
      <c r="H7" s="3" t="s">
        <v>97</v>
      </c>
      <c r="I7" s="6" t="s">
        <v>45</v>
      </c>
      <c r="J7" s="7" t="s">
        <v>93</v>
      </c>
    </row>
    <row r="8" spans="1:10" ht="51" x14ac:dyDescent="0.25">
      <c r="A8" s="5" t="s">
        <v>441</v>
      </c>
      <c r="B8" s="5" t="s">
        <v>46</v>
      </c>
      <c r="C8" s="2" t="s">
        <v>99</v>
      </c>
      <c r="D8" s="5" t="s">
        <v>37</v>
      </c>
      <c r="E8" s="2" t="s">
        <v>90</v>
      </c>
      <c r="F8" s="2" t="s">
        <v>100</v>
      </c>
      <c r="G8" s="2" t="s">
        <v>101</v>
      </c>
      <c r="H8" s="2" t="s">
        <v>101</v>
      </c>
      <c r="I8" s="5" t="s">
        <v>45</v>
      </c>
      <c r="J8" s="7" t="s">
        <v>93</v>
      </c>
    </row>
    <row r="9" spans="1:10" ht="38.25" x14ac:dyDescent="0.25">
      <c r="A9" s="6" t="s">
        <v>442</v>
      </c>
      <c r="B9" s="6" t="s">
        <v>47</v>
      </c>
      <c r="C9" s="3" t="s">
        <v>103</v>
      </c>
      <c r="D9" s="6" t="s">
        <v>37</v>
      </c>
      <c r="E9" s="3" t="s">
        <v>90</v>
      </c>
      <c r="F9" s="3" t="s">
        <v>104</v>
      </c>
      <c r="G9" s="3" t="s">
        <v>105</v>
      </c>
      <c r="H9" s="3" t="s">
        <v>105</v>
      </c>
      <c r="I9" s="6" t="s">
        <v>45</v>
      </c>
      <c r="J9" s="7" t="s">
        <v>93</v>
      </c>
    </row>
    <row r="10" spans="1:10" ht="36" customHeight="1" x14ac:dyDescent="0.25">
      <c r="A10" s="5" t="s">
        <v>106</v>
      </c>
      <c r="B10" s="5" t="s">
        <v>48</v>
      </c>
      <c r="C10" s="2" t="s">
        <v>49</v>
      </c>
      <c r="D10" s="5" t="s">
        <v>37</v>
      </c>
      <c r="E10" s="2" t="s">
        <v>107</v>
      </c>
      <c r="F10" s="2" t="s">
        <v>108</v>
      </c>
      <c r="G10" s="2" t="s">
        <v>109</v>
      </c>
      <c r="H10" s="2" t="s">
        <v>109</v>
      </c>
      <c r="I10" s="5" t="s">
        <v>45</v>
      </c>
      <c r="J10" s="7" t="s">
        <v>93</v>
      </c>
    </row>
    <row r="11" spans="1:10" ht="51" x14ac:dyDescent="0.25">
      <c r="A11" s="6" t="s">
        <v>110</v>
      </c>
      <c r="B11" s="6" t="s">
        <v>39</v>
      </c>
      <c r="C11" s="3" t="s">
        <v>40</v>
      </c>
      <c r="D11" s="6" t="s">
        <v>37</v>
      </c>
      <c r="E11" s="3" t="s">
        <v>107</v>
      </c>
      <c r="F11" s="3" t="s">
        <v>111</v>
      </c>
      <c r="G11" s="3" t="s">
        <v>112</v>
      </c>
      <c r="H11" s="3" t="s">
        <v>112</v>
      </c>
      <c r="I11" s="6" t="s">
        <v>41</v>
      </c>
      <c r="J11" s="7" t="s">
        <v>93</v>
      </c>
    </row>
    <row r="12" spans="1:10" ht="51" x14ac:dyDescent="0.25">
      <c r="A12" s="5" t="s">
        <v>113</v>
      </c>
      <c r="B12" s="5" t="s">
        <v>42</v>
      </c>
      <c r="C12" s="2" t="s">
        <v>43</v>
      </c>
      <c r="D12" s="5" t="s">
        <v>37</v>
      </c>
      <c r="E12" s="2" t="s">
        <v>107</v>
      </c>
      <c r="F12" s="2" t="s">
        <v>114</v>
      </c>
      <c r="G12" s="3" t="s">
        <v>112</v>
      </c>
      <c r="H12" s="3" t="s">
        <v>112</v>
      </c>
      <c r="I12" s="5" t="s">
        <v>41</v>
      </c>
      <c r="J12" s="7" t="s">
        <v>93</v>
      </c>
    </row>
    <row r="13" spans="1:10" ht="63.75" x14ac:dyDescent="0.25">
      <c r="A13" s="6" t="s">
        <v>445</v>
      </c>
      <c r="B13" s="6" t="s">
        <v>51</v>
      </c>
      <c r="C13" s="3" t="s">
        <v>116</v>
      </c>
      <c r="D13" s="6" t="s">
        <v>37</v>
      </c>
      <c r="E13" s="3" t="s">
        <v>117</v>
      </c>
      <c r="F13" s="3" t="s">
        <v>118</v>
      </c>
      <c r="G13" s="3" t="s">
        <v>119</v>
      </c>
      <c r="H13" s="3" t="s">
        <v>119</v>
      </c>
      <c r="I13" s="6" t="s">
        <v>52</v>
      </c>
      <c r="J13" s="7" t="s">
        <v>93</v>
      </c>
    </row>
    <row r="14" spans="1:10" ht="51" x14ac:dyDescent="0.25">
      <c r="A14" s="19" t="s">
        <v>443</v>
      </c>
      <c r="B14" s="19" t="s">
        <v>73</v>
      </c>
      <c r="C14" s="20" t="s">
        <v>504</v>
      </c>
      <c r="D14" s="19" t="s">
        <v>37</v>
      </c>
      <c r="E14" s="20" t="s">
        <v>121</v>
      </c>
      <c r="F14" s="20" t="s">
        <v>122</v>
      </c>
      <c r="G14" s="20" t="s">
        <v>448</v>
      </c>
      <c r="H14" s="21" t="s">
        <v>422</v>
      </c>
      <c r="I14" s="19" t="s">
        <v>74</v>
      </c>
      <c r="J14" s="17" t="s">
        <v>420</v>
      </c>
    </row>
    <row r="15" spans="1:10" ht="51" x14ac:dyDescent="0.25">
      <c r="A15" s="19" t="s">
        <v>444</v>
      </c>
      <c r="B15" s="19" t="s">
        <v>73</v>
      </c>
      <c r="C15" s="20" t="s">
        <v>304</v>
      </c>
      <c r="D15" s="19" t="s">
        <v>37</v>
      </c>
      <c r="E15" s="20" t="s">
        <v>121</v>
      </c>
      <c r="F15" s="20" t="s">
        <v>122</v>
      </c>
      <c r="G15" s="20" t="s">
        <v>123</v>
      </c>
      <c r="H15" s="21" t="s">
        <v>422</v>
      </c>
      <c r="I15" s="19" t="s">
        <v>74</v>
      </c>
      <c r="J15" s="17" t="s">
        <v>420</v>
      </c>
    </row>
    <row r="16" spans="1:10" ht="51" x14ac:dyDescent="0.25">
      <c r="A16" s="19" t="s">
        <v>446</v>
      </c>
      <c r="B16" s="19" t="s">
        <v>75</v>
      </c>
      <c r="C16" s="20" t="s">
        <v>305</v>
      </c>
      <c r="D16" s="19" t="s">
        <v>37</v>
      </c>
      <c r="E16" s="20" t="s">
        <v>126</v>
      </c>
      <c r="F16" s="20" t="s">
        <v>127</v>
      </c>
      <c r="G16" s="20" t="s">
        <v>128</v>
      </c>
      <c r="H16" s="20" t="s">
        <v>423</v>
      </c>
      <c r="I16" s="19" t="s">
        <v>74</v>
      </c>
      <c r="J16" s="17" t="s">
        <v>420</v>
      </c>
    </row>
    <row r="17" spans="1:10" ht="51" x14ac:dyDescent="0.25">
      <c r="A17" s="19" t="s">
        <v>447</v>
      </c>
      <c r="B17" s="19" t="s">
        <v>76</v>
      </c>
      <c r="C17" s="20" t="s">
        <v>306</v>
      </c>
      <c r="D17" s="19" t="s">
        <v>37</v>
      </c>
      <c r="E17" s="20" t="s">
        <v>126</v>
      </c>
      <c r="F17" s="20" t="s">
        <v>130</v>
      </c>
      <c r="G17" s="20" t="s">
        <v>131</v>
      </c>
      <c r="H17" s="20" t="s">
        <v>423</v>
      </c>
      <c r="I17" s="19" t="s">
        <v>74</v>
      </c>
      <c r="J17" s="17" t="s">
        <v>420</v>
      </c>
    </row>
    <row r="18" spans="1:10" ht="25.5" x14ac:dyDescent="0.25">
      <c r="A18" s="6" t="s">
        <v>132</v>
      </c>
      <c r="B18" s="6" t="s">
        <v>54</v>
      </c>
      <c r="C18" s="3" t="s">
        <v>133</v>
      </c>
      <c r="D18" s="6" t="s">
        <v>55</v>
      </c>
      <c r="E18" s="3" t="s">
        <v>134</v>
      </c>
      <c r="F18" s="3" t="s">
        <v>135</v>
      </c>
      <c r="G18" s="3" t="s">
        <v>136</v>
      </c>
      <c r="H18" s="3" t="s">
        <v>136</v>
      </c>
      <c r="I18" s="6" t="s">
        <v>45</v>
      </c>
      <c r="J18" s="7" t="s">
        <v>93</v>
      </c>
    </row>
    <row r="19" spans="1:10" ht="38.25" x14ac:dyDescent="0.25">
      <c r="A19" s="5" t="s">
        <v>137</v>
      </c>
      <c r="B19" s="5" t="s">
        <v>56</v>
      </c>
      <c r="C19" s="2" t="s">
        <v>415</v>
      </c>
      <c r="D19" s="5" t="s">
        <v>55</v>
      </c>
      <c r="E19" s="2" t="s">
        <v>139</v>
      </c>
      <c r="F19" s="2" t="s">
        <v>140</v>
      </c>
      <c r="G19" s="2" t="s">
        <v>141</v>
      </c>
      <c r="H19" s="2" t="s">
        <v>141</v>
      </c>
      <c r="I19" s="5" t="s">
        <v>57</v>
      </c>
      <c r="J19" s="7" t="s">
        <v>93</v>
      </c>
    </row>
    <row r="20" spans="1:10" ht="38.25" x14ac:dyDescent="0.25">
      <c r="A20" s="6" t="s">
        <v>142</v>
      </c>
      <c r="B20" s="6" t="s">
        <v>58</v>
      </c>
      <c r="C20" s="3" t="s">
        <v>416</v>
      </c>
      <c r="D20" s="6" t="s">
        <v>55</v>
      </c>
      <c r="E20" s="3" t="s">
        <v>144</v>
      </c>
      <c r="F20" s="3" t="s">
        <v>145</v>
      </c>
      <c r="G20" s="3" t="s">
        <v>146</v>
      </c>
      <c r="H20" s="3" t="s">
        <v>146</v>
      </c>
      <c r="I20" s="6" t="s">
        <v>59</v>
      </c>
      <c r="J20" s="7" t="s">
        <v>93</v>
      </c>
    </row>
    <row r="21" spans="1:10" ht="38.25" x14ac:dyDescent="0.25">
      <c r="A21" s="5" t="s">
        <v>147</v>
      </c>
      <c r="B21" s="5" t="s">
        <v>60</v>
      </c>
      <c r="C21" s="2" t="s">
        <v>417</v>
      </c>
      <c r="D21" s="5" t="s">
        <v>55</v>
      </c>
      <c r="E21" s="2" t="s">
        <v>149</v>
      </c>
      <c r="F21" s="2" t="s">
        <v>150</v>
      </c>
      <c r="G21" s="2" t="s">
        <v>151</v>
      </c>
      <c r="H21" s="2" t="s">
        <v>151</v>
      </c>
      <c r="I21" s="5" t="s">
        <v>57</v>
      </c>
      <c r="J21" s="7" t="s">
        <v>93</v>
      </c>
    </row>
    <row r="22" spans="1:10" ht="38.25" x14ac:dyDescent="0.25">
      <c r="A22" s="6" t="s">
        <v>152</v>
      </c>
      <c r="B22" s="6" t="s">
        <v>61</v>
      </c>
      <c r="C22" s="3" t="s">
        <v>418</v>
      </c>
      <c r="D22" s="6" t="s">
        <v>55</v>
      </c>
      <c r="E22" s="3" t="s">
        <v>154</v>
      </c>
      <c r="F22" s="3" t="s">
        <v>155</v>
      </c>
      <c r="G22" s="3" t="s">
        <v>156</v>
      </c>
      <c r="H22" s="3" t="s">
        <v>156</v>
      </c>
      <c r="I22" s="6" t="s">
        <v>36</v>
      </c>
      <c r="J22" s="7" t="s">
        <v>93</v>
      </c>
    </row>
    <row r="23" spans="1:10" ht="38.25" x14ac:dyDescent="0.25">
      <c r="A23" s="5" t="s">
        <v>157</v>
      </c>
      <c r="B23" s="5" t="s">
        <v>61</v>
      </c>
      <c r="C23" s="2" t="s">
        <v>158</v>
      </c>
      <c r="D23" s="5" t="s">
        <v>55</v>
      </c>
      <c r="E23" s="2" t="s">
        <v>154</v>
      </c>
      <c r="F23" s="2" t="s">
        <v>159</v>
      </c>
      <c r="G23" s="2" t="s">
        <v>156</v>
      </c>
      <c r="H23" s="2" t="s">
        <v>156</v>
      </c>
      <c r="I23" s="5" t="s">
        <v>36</v>
      </c>
      <c r="J23" s="7" t="s">
        <v>93</v>
      </c>
    </row>
    <row r="24" spans="1:10" ht="25.5" x14ac:dyDescent="0.25">
      <c r="A24" s="6" t="s">
        <v>160</v>
      </c>
      <c r="B24" s="6" t="s">
        <v>61</v>
      </c>
      <c r="C24" s="3" t="s">
        <v>419</v>
      </c>
      <c r="D24" s="6" t="s">
        <v>55</v>
      </c>
      <c r="E24" s="3" t="s">
        <v>154</v>
      </c>
      <c r="F24" s="3" t="s">
        <v>162</v>
      </c>
      <c r="G24" s="3" t="s">
        <v>156</v>
      </c>
      <c r="H24" s="3" t="s">
        <v>156</v>
      </c>
      <c r="I24" s="6" t="s">
        <v>36</v>
      </c>
      <c r="J24" s="7" t="s">
        <v>93</v>
      </c>
    </row>
    <row r="25" spans="1:10" ht="51" x14ac:dyDescent="0.25">
      <c r="A25" s="5" t="s">
        <v>163</v>
      </c>
      <c r="B25" s="5" t="s">
        <v>62</v>
      </c>
      <c r="C25" s="2" t="s">
        <v>63</v>
      </c>
      <c r="D25" s="5" t="s">
        <v>55</v>
      </c>
      <c r="E25" s="2" t="s">
        <v>165</v>
      </c>
      <c r="F25" s="2" t="s">
        <v>166</v>
      </c>
      <c r="G25" s="2" t="s">
        <v>167</v>
      </c>
      <c r="H25" s="2" t="s">
        <v>167</v>
      </c>
      <c r="I25" s="5" t="s">
        <v>72</v>
      </c>
      <c r="J25" s="7" t="s">
        <v>93</v>
      </c>
    </row>
    <row r="26" spans="1:10" ht="51" x14ac:dyDescent="0.25">
      <c r="A26" s="6" t="s">
        <v>168</v>
      </c>
      <c r="B26" s="6" t="s">
        <v>64</v>
      </c>
      <c r="C26" s="3" t="s">
        <v>169</v>
      </c>
      <c r="D26" s="6" t="s">
        <v>55</v>
      </c>
      <c r="E26" s="3" t="s">
        <v>170</v>
      </c>
      <c r="F26" s="3" t="s">
        <v>171</v>
      </c>
      <c r="G26" s="3" t="s">
        <v>172</v>
      </c>
      <c r="H26" s="3" t="s">
        <v>172</v>
      </c>
      <c r="I26" s="6" t="s">
        <v>59</v>
      </c>
      <c r="J26" s="7" t="s">
        <v>93</v>
      </c>
    </row>
    <row r="27" spans="1:10" ht="51" x14ac:dyDescent="0.25">
      <c r="A27" s="5" t="s">
        <v>174</v>
      </c>
      <c r="B27" s="5" t="s">
        <v>65</v>
      </c>
      <c r="C27" s="2" t="s">
        <v>175</v>
      </c>
      <c r="D27" s="5" t="s">
        <v>67</v>
      </c>
      <c r="E27" s="2" t="s">
        <v>176</v>
      </c>
      <c r="F27" s="2" t="s">
        <v>177</v>
      </c>
      <c r="G27" s="2" t="s">
        <v>178</v>
      </c>
      <c r="H27" s="2" t="s">
        <v>178</v>
      </c>
      <c r="I27" s="5" t="s">
        <v>66</v>
      </c>
      <c r="J27" s="7" t="s">
        <v>93</v>
      </c>
    </row>
    <row r="28" spans="1:10" ht="51" x14ac:dyDescent="0.25">
      <c r="A28" s="6" t="s">
        <v>179</v>
      </c>
      <c r="B28" s="6" t="s">
        <v>69</v>
      </c>
      <c r="C28" s="3" t="s">
        <v>70</v>
      </c>
      <c r="D28" s="6" t="s">
        <v>67</v>
      </c>
      <c r="E28" s="3" t="s">
        <v>176</v>
      </c>
      <c r="F28" s="3" t="s">
        <v>180</v>
      </c>
      <c r="G28" s="3" t="s">
        <v>181</v>
      </c>
      <c r="H28" s="3" t="s">
        <v>181</v>
      </c>
      <c r="I28" s="6" t="s">
        <v>59</v>
      </c>
      <c r="J28" s="7" t="s">
        <v>93</v>
      </c>
    </row>
    <row r="29" spans="1:10" ht="63.75" x14ac:dyDescent="0.25">
      <c r="A29" s="5" t="s">
        <v>182</v>
      </c>
      <c r="B29" s="5" t="s">
        <v>71</v>
      </c>
      <c r="C29" s="2" t="s">
        <v>183</v>
      </c>
      <c r="D29" s="5" t="s">
        <v>67</v>
      </c>
      <c r="E29" s="2" t="s">
        <v>184</v>
      </c>
      <c r="F29" s="2" t="s">
        <v>185</v>
      </c>
      <c r="G29" s="2" t="s">
        <v>186</v>
      </c>
      <c r="H29" s="2" t="s">
        <v>186</v>
      </c>
      <c r="I29" s="5" t="s">
        <v>72</v>
      </c>
      <c r="J29" s="7" t="s">
        <v>93</v>
      </c>
    </row>
    <row r="30" spans="1:10" ht="51" x14ac:dyDescent="0.25">
      <c r="A30" s="6" t="s">
        <v>187</v>
      </c>
      <c r="B30" s="6" t="s">
        <v>77</v>
      </c>
      <c r="C30" s="3" t="s">
        <v>319</v>
      </c>
      <c r="D30" s="6" t="s">
        <v>78</v>
      </c>
      <c r="E30" s="3" t="s">
        <v>173</v>
      </c>
      <c r="F30" s="3" t="s">
        <v>188</v>
      </c>
      <c r="G30" s="3" t="s">
        <v>189</v>
      </c>
      <c r="H30" s="3" t="s">
        <v>189</v>
      </c>
      <c r="I30" s="6" t="s">
        <v>57</v>
      </c>
      <c r="J30" s="7" t="s">
        <v>93</v>
      </c>
    </row>
    <row r="31" spans="1:10" ht="38.25" x14ac:dyDescent="0.25">
      <c r="A31" s="16" t="s">
        <v>440</v>
      </c>
      <c r="B31" s="5" t="s">
        <v>79</v>
      </c>
      <c r="C31" s="15" t="s">
        <v>433</v>
      </c>
      <c r="D31" s="5" t="s">
        <v>78</v>
      </c>
      <c r="E31" s="2" t="s">
        <v>191</v>
      </c>
      <c r="F31" s="2" t="s">
        <v>434</v>
      </c>
      <c r="G31" s="2" t="s">
        <v>435</v>
      </c>
      <c r="H31" s="2" t="s">
        <v>436</v>
      </c>
      <c r="I31" s="5" t="s">
        <v>57</v>
      </c>
      <c r="J31" s="7" t="s">
        <v>93</v>
      </c>
    </row>
  </sheetData>
  <mergeCells count="1">
    <mergeCell ref="A1:J1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zoomScale="157" workbookViewId="0">
      <pane ySplit="1" topLeftCell="A2" activePane="bottomLeft" state="frozen"/>
      <selection pane="bottomLeft" sqref="A1:G1"/>
    </sheetView>
  </sheetViews>
  <sheetFormatPr defaultRowHeight="15" x14ac:dyDescent="0.25"/>
  <cols>
    <col min="1" max="1" width="8" customWidth="1"/>
    <col min="2" max="2" width="30" customWidth="1"/>
    <col min="3" max="3" width="32" customWidth="1"/>
    <col min="4" max="4" width="58" customWidth="1"/>
    <col min="5" max="5" width="18" customWidth="1"/>
    <col min="6" max="6" width="16" customWidth="1"/>
    <col min="7" max="7" width="40" customWidth="1"/>
  </cols>
  <sheetData>
    <row r="1" spans="1:7" ht="30" customHeight="1" x14ac:dyDescent="0.25">
      <c r="A1" s="24" t="s">
        <v>192</v>
      </c>
      <c r="B1" s="25"/>
      <c r="C1" s="25"/>
      <c r="D1" s="25"/>
      <c r="E1" s="25"/>
      <c r="F1" s="25"/>
      <c r="G1" s="25"/>
    </row>
    <row r="2" spans="1:7" x14ac:dyDescent="0.25">
      <c r="A2" s="22" t="s">
        <v>193</v>
      </c>
      <c r="B2" s="22" t="s">
        <v>194</v>
      </c>
      <c r="C2" s="22" t="s">
        <v>195</v>
      </c>
      <c r="D2" s="22" t="s">
        <v>196</v>
      </c>
    </row>
    <row r="3" spans="1:7" ht="30" x14ac:dyDescent="0.25">
      <c r="A3" s="23" t="s">
        <v>36</v>
      </c>
      <c r="B3" s="23" t="s">
        <v>476</v>
      </c>
      <c r="C3" s="23" t="s">
        <v>477</v>
      </c>
      <c r="D3" s="23" t="s">
        <v>478</v>
      </c>
    </row>
    <row r="4" spans="1:7" ht="30" x14ac:dyDescent="0.25">
      <c r="A4" s="23" t="s">
        <v>57</v>
      </c>
      <c r="B4" s="23" t="s">
        <v>479</v>
      </c>
      <c r="C4" s="23" t="s">
        <v>480</v>
      </c>
      <c r="D4" s="23" t="s">
        <v>481</v>
      </c>
    </row>
    <row r="5" spans="1:7" ht="30" x14ac:dyDescent="0.25">
      <c r="A5" s="23" t="s">
        <v>197</v>
      </c>
      <c r="B5" s="23" t="s">
        <v>482</v>
      </c>
      <c r="C5" s="23" t="s">
        <v>483</v>
      </c>
      <c r="D5" s="23" t="s">
        <v>198</v>
      </c>
    </row>
    <row r="6" spans="1:7" ht="30" x14ac:dyDescent="0.25">
      <c r="A6" s="23" t="s">
        <v>199</v>
      </c>
      <c r="B6" s="23" t="s">
        <v>484</v>
      </c>
      <c r="C6" s="23" t="s">
        <v>483</v>
      </c>
      <c r="D6" s="23" t="s">
        <v>200</v>
      </c>
    </row>
    <row r="7" spans="1:7" ht="30" x14ac:dyDescent="0.25">
      <c r="A7" s="23" t="s">
        <v>201</v>
      </c>
      <c r="B7" s="23" t="s">
        <v>485</v>
      </c>
      <c r="C7" s="23" t="s">
        <v>486</v>
      </c>
      <c r="D7" s="23" t="s">
        <v>487</v>
      </c>
    </row>
    <row r="8" spans="1:7" ht="30" x14ac:dyDescent="0.25">
      <c r="A8" s="23" t="s">
        <v>202</v>
      </c>
      <c r="B8" s="23" t="s">
        <v>488</v>
      </c>
      <c r="C8" s="23" t="s">
        <v>489</v>
      </c>
      <c r="D8" s="23" t="s">
        <v>203</v>
      </c>
    </row>
    <row r="9" spans="1:7" ht="30" x14ac:dyDescent="0.25">
      <c r="A9" s="23" t="s">
        <v>204</v>
      </c>
      <c r="B9" s="23" t="s">
        <v>490</v>
      </c>
      <c r="C9" s="23" t="s">
        <v>489</v>
      </c>
      <c r="D9" s="23" t="s">
        <v>203</v>
      </c>
    </row>
    <row r="10" spans="1:7" ht="30" x14ac:dyDescent="0.25">
      <c r="A10" s="23" t="s">
        <v>205</v>
      </c>
      <c r="B10" s="23" t="s">
        <v>491</v>
      </c>
      <c r="C10" s="23" t="s">
        <v>492</v>
      </c>
      <c r="D10" s="23" t="s">
        <v>493</v>
      </c>
    </row>
    <row r="11" spans="1:7" ht="30" x14ac:dyDescent="0.25">
      <c r="A11" s="23" t="s">
        <v>45</v>
      </c>
      <c r="B11" s="23" t="s">
        <v>494</v>
      </c>
      <c r="C11" s="23" t="s">
        <v>495</v>
      </c>
      <c r="D11" s="23" t="s">
        <v>496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workbookViewId="0">
      <pane ySplit="2" topLeftCell="A3" activePane="bottomLeft" state="frozen"/>
      <selection pane="bottomLeft" sqref="A1:E1"/>
    </sheetView>
  </sheetViews>
  <sheetFormatPr defaultRowHeight="15" x14ac:dyDescent="0.25"/>
  <cols>
    <col min="1" max="1" width="26" customWidth="1"/>
    <col min="2" max="2" width="52" customWidth="1"/>
    <col min="3" max="3" width="10" customWidth="1"/>
    <col min="4" max="4" width="48" customWidth="1"/>
    <col min="5" max="5" width="16" customWidth="1"/>
  </cols>
  <sheetData>
    <row r="1" spans="1:5" ht="30" customHeight="1" x14ac:dyDescent="0.25">
      <c r="A1" s="24" t="s">
        <v>206</v>
      </c>
      <c r="B1" s="25"/>
      <c r="C1" s="25"/>
      <c r="D1" s="25"/>
      <c r="E1" s="25"/>
    </row>
    <row r="2" spans="1:5" ht="21.95" customHeight="1" x14ac:dyDescent="0.25">
      <c r="A2" s="4" t="s">
        <v>207</v>
      </c>
      <c r="B2" s="4" t="s">
        <v>208</v>
      </c>
      <c r="C2" s="4" t="s">
        <v>209</v>
      </c>
      <c r="D2" s="4" t="s">
        <v>210</v>
      </c>
      <c r="E2" s="4" t="s">
        <v>87</v>
      </c>
    </row>
    <row r="3" spans="1:5" ht="54.95" customHeight="1" x14ac:dyDescent="0.25">
      <c r="A3" s="2" t="s">
        <v>211</v>
      </c>
      <c r="B3" s="2" t="s">
        <v>212</v>
      </c>
      <c r="C3" s="7" t="s">
        <v>213</v>
      </c>
      <c r="D3" s="2" t="s">
        <v>214</v>
      </c>
      <c r="E3" s="7" t="s">
        <v>215</v>
      </c>
    </row>
    <row r="4" spans="1:5" ht="54.95" customHeight="1" x14ac:dyDescent="0.25">
      <c r="A4" s="3" t="s">
        <v>216</v>
      </c>
      <c r="B4" s="3" t="s">
        <v>217</v>
      </c>
      <c r="C4" s="9" t="s">
        <v>38</v>
      </c>
      <c r="D4" s="3" t="s">
        <v>218</v>
      </c>
      <c r="E4" s="9" t="s">
        <v>219</v>
      </c>
    </row>
    <row r="5" spans="1:5" ht="54.95" customHeight="1" x14ac:dyDescent="0.25">
      <c r="A5" s="2" t="s">
        <v>220</v>
      </c>
      <c r="B5" s="2" t="s">
        <v>221</v>
      </c>
      <c r="C5" s="9" t="s">
        <v>38</v>
      </c>
      <c r="D5" s="2" t="s">
        <v>222</v>
      </c>
      <c r="E5" s="9" t="s">
        <v>219</v>
      </c>
    </row>
    <row r="6" spans="1:5" ht="54.95" customHeight="1" x14ac:dyDescent="0.25">
      <c r="A6" s="3" t="s">
        <v>223</v>
      </c>
      <c r="B6" s="3" t="s">
        <v>224</v>
      </c>
      <c r="C6" s="9" t="s">
        <v>38</v>
      </c>
      <c r="D6" s="3" t="s">
        <v>225</v>
      </c>
      <c r="E6" s="9" t="s">
        <v>219</v>
      </c>
    </row>
    <row r="7" spans="1:5" ht="54.95" customHeight="1" x14ac:dyDescent="0.25">
      <c r="A7" s="2" t="s">
        <v>226</v>
      </c>
      <c r="B7" s="2" t="s">
        <v>227</v>
      </c>
      <c r="C7" s="9" t="s">
        <v>38</v>
      </c>
      <c r="D7" s="2" t="s">
        <v>228</v>
      </c>
      <c r="E7" s="9" t="s">
        <v>219</v>
      </c>
    </row>
    <row r="8" spans="1:5" ht="54.95" customHeight="1" x14ac:dyDescent="0.25">
      <c r="A8" s="3" t="s">
        <v>229</v>
      </c>
      <c r="B8" s="3" t="s">
        <v>230</v>
      </c>
      <c r="C8" s="9" t="s">
        <v>38</v>
      </c>
      <c r="D8" s="3" t="s">
        <v>231</v>
      </c>
      <c r="E8" s="9" t="s">
        <v>219</v>
      </c>
    </row>
    <row r="9" spans="1:5" ht="54.95" customHeight="1" x14ac:dyDescent="0.25">
      <c r="A9" s="2" t="s">
        <v>232</v>
      </c>
      <c r="B9" s="2" t="s">
        <v>233</v>
      </c>
      <c r="C9" s="9" t="s">
        <v>38</v>
      </c>
      <c r="D9" s="2" t="s">
        <v>234</v>
      </c>
      <c r="E9" s="9" t="s">
        <v>235</v>
      </c>
    </row>
    <row r="10" spans="1:5" ht="54.95" customHeight="1" x14ac:dyDescent="0.25">
      <c r="A10" s="3" t="s">
        <v>236</v>
      </c>
      <c r="B10" s="3" t="s">
        <v>237</v>
      </c>
      <c r="C10" s="9" t="s">
        <v>38</v>
      </c>
      <c r="D10" s="3" t="s">
        <v>238</v>
      </c>
      <c r="E10" s="9" t="s">
        <v>235</v>
      </c>
    </row>
    <row r="11" spans="1:5" ht="54.95" customHeight="1" x14ac:dyDescent="0.25">
      <c r="A11" s="2" t="s">
        <v>239</v>
      </c>
      <c r="B11" s="2" t="s">
        <v>240</v>
      </c>
      <c r="C11" s="8" t="s">
        <v>50</v>
      </c>
      <c r="D11" s="2" t="s">
        <v>241</v>
      </c>
      <c r="E11" s="9" t="s">
        <v>235</v>
      </c>
    </row>
    <row r="12" spans="1:5" ht="54.95" customHeight="1" x14ac:dyDescent="0.25">
      <c r="A12" s="3" t="s">
        <v>242</v>
      </c>
      <c r="B12" s="3" t="s">
        <v>243</v>
      </c>
      <c r="C12" s="9" t="s">
        <v>38</v>
      </c>
      <c r="D12" s="3" t="s">
        <v>244</v>
      </c>
      <c r="E12" s="9" t="s">
        <v>235</v>
      </c>
    </row>
    <row r="13" spans="1:5" ht="54.95" customHeight="1" x14ac:dyDescent="0.25">
      <c r="A13" s="2" t="s">
        <v>245</v>
      </c>
      <c r="B13" s="2" t="s">
        <v>246</v>
      </c>
      <c r="C13" s="8" t="s">
        <v>50</v>
      </c>
      <c r="D13" s="2" t="s">
        <v>247</v>
      </c>
      <c r="E13" s="9" t="s">
        <v>235</v>
      </c>
    </row>
    <row r="14" spans="1:5" ht="54.95" customHeight="1" x14ac:dyDescent="0.25">
      <c r="A14" s="3" t="s">
        <v>248</v>
      </c>
      <c r="B14" s="3" t="s">
        <v>249</v>
      </c>
      <c r="C14" s="8" t="s">
        <v>50</v>
      </c>
      <c r="D14" s="3" t="s">
        <v>250</v>
      </c>
      <c r="E14" s="9" t="s">
        <v>235</v>
      </c>
    </row>
    <row r="15" spans="1:5" ht="54.95" customHeight="1" x14ac:dyDescent="0.25">
      <c r="A15" s="2" t="s">
        <v>251</v>
      </c>
      <c r="B15" s="2" t="s">
        <v>252</v>
      </c>
      <c r="C15" s="8" t="s">
        <v>50</v>
      </c>
      <c r="D15" s="2" t="s">
        <v>253</v>
      </c>
      <c r="E15" s="9" t="s">
        <v>235</v>
      </c>
    </row>
    <row r="16" spans="1:5" ht="54.95" customHeight="1" x14ac:dyDescent="0.25">
      <c r="A16" s="3" t="s">
        <v>254</v>
      </c>
      <c r="B16" s="3" t="s">
        <v>255</v>
      </c>
      <c r="C16" s="8" t="s">
        <v>50</v>
      </c>
      <c r="D16" s="3" t="s">
        <v>256</v>
      </c>
      <c r="E16" s="9" t="s">
        <v>235</v>
      </c>
    </row>
    <row r="17" spans="1:5" ht="54.95" customHeight="1" x14ac:dyDescent="0.25">
      <c r="A17" s="2" t="s">
        <v>257</v>
      </c>
      <c r="B17" s="2" t="s">
        <v>258</v>
      </c>
      <c r="C17" s="8" t="s">
        <v>50</v>
      </c>
      <c r="D17" s="2" t="s">
        <v>259</v>
      </c>
      <c r="E17" s="9" t="s">
        <v>235</v>
      </c>
    </row>
    <row r="18" spans="1:5" ht="54.95" customHeight="1" x14ac:dyDescent="0.25">
      <c r="A18" s="3" t="s">
        <v>260</v>
      </c>
      <c r="B18" s="3" t="s">
        <v>261</v>
      </c>
      <c r="C18" s="5" t="s">
        <v>262</v>
      </c>
      <c r="D18" s="3" t="s">
        <v>263</v>
      </c>
      <c r="E18" s="9" t="s">
        <v>235</v>
      </c>
    </row>
    <row r="19" spans="1:5" ht="54.95" customHeight="1" x14ac:dyDescent="0.25">
      <c r="A19" s="2" t="s">
        <v>264</v>
      </c>
      <c r="B19" s="2" t="s">
        <v>265</v>
      </c>
      <c r="C19" s="7" t="s">
        <v>213</v>
      </c>
      <c r="D19" s="2" t="s">
        <v>266</v>
      </c>
      <c r="E19" s="7" t="s">
        <v>215</v>
      </c>
    </row>
    <row r="20" spans="1:5" ht="54.95" customHeight="1" x14ac:dyDescent="0.25">
      <c r="A20" s="3" t="s">
        <v>267</v>
      </c>
      <c r="B20" s="3" t="s">
        <v>268</v>
      </c>
      <c r="C20" s="7" t="s">
        <v>213</v>
      </c>
      <c r="D20" s="3" t="s">
        <v>269</v>
      </c>
      <c r="E20" s="7" t="s">
        <v>215</v>
      </c>
    </row>
    <row r="21" spans="1:5" ht="54.95" customHeight="1" x14ac:dyDescent="0.25">
      <c r="A21" s="2" t="s">
        <v>270</v>
      </c>
      <c r="B21" s="2" t="s">
        <v>271</v>
      </c>
      <c r="C21" s="5" t="s">
        <v>262</v>
      </c>
      <c r="D21" s="2" t="s">
        <v>272</v>
      </c>
      <c r="E21" s="8" t="s">
        <v>273</v>
      </c>
    </row>
    <row r="22" spans="1:5" ht="54.95" customHeight="1" x14ac:dyDescent="0.25">
      <c r="A22" s="3" t="s">
        <v>274</v>
      </c>
      <c r="B22" s="3" t="s">
        <v>275</v>
      </c>
      <c r="C22" s="8" t="s">
        <v>50</v>
      </c>
      <c r="D22" s="3" t="s">
        <v>276</v>
      </c>
      <c r="E22" s="9" t="s">
        <v>219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"/>
  <sheetViews>
    <sheetView zoomScale="99" zoomScaleNormal="85" workbookViewId="0">
      <pane ySplit="14" topLeftCell="A15" activePane="bottomLeft" state="frozen"/>
      <selection pane="bottomLeft" activeCell="H27" sqref="H27"/>
    </sheetView>
  </sheetViews>
  <sheetFormatPr defaultRowHeight="15" x14ac:dyDescent="0.25"/>
  <cols>
    <col min="1" max="1" width="18" customWidth="1"/>
    <col min="2" max="2" width="40" customWidth="1"/>
    <col min="3" max="3" width="10" customWidth="1"/>
    <col min="4" max="4" width="28" customWidth="1"/>
    <col min="5" max="5" width="20" customWidth="1"/>
    <col min="6" max="6" width="16" customWidth="1"/>
    <col min="7" max="7" width="13" customWidth="1"/>
    <col min="8" max="8" width="12" customWidth="1"/>
  </cols>
  <sheetData>
    <row r="1" spans="1:8" ht="30" customHeight="1" x14ac:dyDescent="0.25">
      <c r="A1" s="24" t="s">
        <v>277</v>
      </c>
      <c r="B1" s="25"/>
      <c r="C1" s="25"/>
      <c r="D1" s="25"/>
      <c r="E1" s="25"/>
      <c r="F1" s="25"/>
      <c r="G1" s="25"/>
      <c r="H1" s="25"/>
    </row>
    <row r="3" spans="1:8" x14ac:dyDescent="0.25">
      <c r="A3" s="10" t="s">
        <v>278</v>
      </c>
      <c r="B3" s="2" t="s">
        <v>279</v>
      </c>
    </row>
    <row r="4" spans="1:8" x14ac:dyDescent="0.25">
      <c r="A4" s="10" t="s">
        <v>280</v>
      </c>
      <c r="B4" s="2" t="s">
        <v>26</v>
      </c>
    </row>
    <row r="5" spans="1:8" x14ac:dyDescent="0.25">
      <c r="A5" s="10" t="s">
        <v>281</v>
      </c>
      <c r="B5" s="2" t="s">
        <v>282</v>
      </c>
    </row>
    <row r="6" spans="1:8" ht="25.5" x14ac:dyDescent="0.25">
      <c r="A6" s="10" t="s">
        <v>283</v>
      </c>
      <c r="B6" s="2" t="s">
        <v>284</v>
      </c>
    </row>
    <row r="7" spans="1:8" x14ac:dyDescent="0.25">
      <c r="A7" s="10" t="s">
        <v>285</v>
      </c>
      <c r="B7" s="2">
        <f>COUNTA(A15:A47)-1</f>
        <v>25</v>
      </c>
    </row>
    <row r="8" spans="1:8" x14ac:dyDescent="0.25">
      <c r="A8" s="10" t="s">
        <v>93</v>
      </c>
      <c r="B8" s="2">
        <f>COUNTIF(F15:F47,"Pass")</f>
        <v>22</v>
      </c>
    </row>
    <row r="9" spans="1:8" x14ac:dyDescent="0.25">
      <c r="A9" s="10" t="s">
        <v>286</v>
      </c>
      <c r="B9" s="2">
        <f>COUNTIF(F15:F47,"Fail")</f>
        <v>0</v>
      </c>
    </row>
    <row r="10" spans="1:8" x14ac:dyDescent="0.25">
      <c r="A10" s="10" t="s">
        <v>287</v>
      </c>
      <c r="B10" s="2">
        <f>COUNTIF(F15:F47,"Blocked")</f>
        <v>0</v>
      </c>
    </row>
    <row r="11" spans="1:8" x14ac:dyDescent="0.25">
      <c r="A11" s="10" t="s">
        <v>124</v>
      </c>
      <c r="B11" s="2">
        <f>COUNTIF(F15:F47,"Not Implemented")</f>
        <v>0</v>
      </c>
    </row>
    <row r="12" spans="1:8" x14ac:dyDescent="0.25">
      <c r="A12" s="10" t="s">
        <v>288</v>
      </c>
      <c r="B12" s="11" t="e">
        <f>IF(B20&gt;0,B21/B20,0)</f>
        <v>#VALUE!</v>
      </c>
    </row>
    <row r="14" spans="1:8" ht="21.95" customHeight="1" x14ac:dyDescent="0.25">
      <c r="A14" s="4" t="s">
        <v>82</v>
      </c>
      <c r="B14" s="4" t="s">
        <v>83</v>
      </c>
      <c r="C14" s="4" t="s">
        <v>289</v>
      </c>
      <c r="D14" s="4" t="s">
        <v>290</v>
      </c>
      <c r="E14" s="4" t="s">
        <v>291</v>
      </c>
      <c r="F14" s="4" t="s">
        <v>87</v>
      </c>
      <c r="G14" s="4" t="s">
        <v>292</v>
      </c>
      <c r="H14" s="4" t="s">
        <v>293</v>
      </c>
    </row>
    <row r="15" spans="1:8" x14ac:dyDescent="0.25">
      <c r="A15" s="5" t="s">
        <v>88</v>
      </c>
      <c r="B15" s="2" t="s">
        <v>89</v>
      </c>
      <c r="C15" s="5" t="s">
        <v>37</v>
      </c>
      <c r="D15" s="2" t="s">
        <v>294</v>
      </c>
      <c r="E15" s="5" t="s">
        <v>295</v>
      </c>
      <c r="F15" s="7" t="s">
        <v>93</v>
      </c>
      <c r="G15" s="5" t="s">
        <v>296</v>
      </c>
      <c r="H15" s="5" t="s">
        <v>80</v>
      </c>
    </row>
    <row r="16" spans="1:8" x14ac:dyDescent="0.25">
      <c r="A16" s="6" t="s">
        <v>94</v>
      </c>
      <c r="B16" s="3" t="s">
        <v>95</v>
      </c>
      <c r="C16" s="6" t="s">
        <v>37</v>
      </c>
      <c r="D16" s="3" t="s">
        <v>294</v>
      </c>
      <c r="E16" s="6" t="s">
        <v>295</v>
      </c>
      <c r="F16" s="7" t="s">
        <v>93</v>
      </c>
      <c r="G16" s="6" t="s">
        <v>297</v>
      </c>
      <c r="H16" s="6" t="s">
        <v>80</v>
      </c>
    </row>
    <row r="17" spans="1:8" x14ac:dyDescent="0.25">
      <c r="A17" s="5" t="s">
        <v>98</v>
      </c>
      <c r="B17" s="2" t="s">
        <v>99</v>
      </c>
      <c r="C17" s="5" t="s">
        <v>37</v>
      </c>
      <c r="D17" s="2" t="s">
        <v>298</v>
      </c>
      <c r="E17" s="5" t="s">
        <v>295</v>
      </c>
      <c r="F17" s="7" t="s">
        <v>93</v>
      </c>
      <c r="G17" s="5" t="s">
        <v>297</v>
      </c>
      <c r="H17" s="5" t="s">
        <v>80</v>
      </c>
    </row>
    <row r="18" spans="1:8" x14ac:dyDescent="0.25">
      <c r="A18" s="6" t="s">
        <v>102</v>
      </c>
      <c r="B18" s="3" t="s">
        <v>103</v>
      </c>
      <c r="C18" s="6" t="s">
        <v>37</v>
      </c>
      <c r="D18" s="3" t="s">
        <v>299</v>
      </c>
      <c r="E18" s="6" t="s">
        <v>295</v>
      </c>
      <c r="F18" s="7" t="s">
        <v>93</v>
      </c>
      <c r="G18" s="6" t="s">
        <v>300</v>
      </c>
      <c r="H18" s="6" t="s">
        <v>80</v>
      </c>
    </row>
    <row r="19" spans="1:8" x14ac:dyDescent="0.25">
      <c r="A19" s="5" t="s">
        <v>106</v>
      </c>
      <c r="B19" s="2" t="s">
        <v>49</v>
      </c>
      <c r="C19" s="5" t="s">
        <v>37</v>
      </c>
      <c r="D19" s="2" t="s">
        <v>301</v>
      </c>
      <c r="E19" s="5" t="s">
        <v>295</v>
      </c>
      <c r="F19" s="7" t="s">
        <v>93</v>
      </c>
      <c r="G19" s="5" t="s">
        <v>300</v>
      </c>
      <c r="H19" s="5" t="s">
        <v>80</v>
      </c>
    </row>
    <row r="20" spans="1:8" x14ac:dyDescent="0.25">
      <c r="A20" s="6" t="s">
        <v>110</v>
      </c>
      <c r="B20" s="3" t="s">
        <v>40</v>
      </c>
      <c r="C20" s="6" t="s">
        <v>37</v>
      </c>
      <c r="D20" s="3" t="s">
        <v>294</v>
      </c>
      <c r="E20" s="6" t="s">
        <v>295</v>
      </c>
      <c r="F20" s="7" t="s">
        <v>93</v>
      </c>
      <c r="G20" s="6" t="s">
        <v>302</v>
      </c>
      <c r="H20" s="6" t="s">
        <v>80</v>
      </c>
    </row>
    <row r="21" spans="1:8" x14ac:dyDescent="0.25">
      <c r="A21" s="5" t="s">
        <v>113</v>
      </c>
      <c r="B21" s="2" t="s">
        <v>43</v>
      </c>
      <c r="C21" s="5" t="s">
        <v>37</v>
      </c>
      <c r="D21" s="2" t="s">
        <v>301</v>
      </c>
      <c r="E21" s="5" t="s">
        <v>295</v>
      </c>
      <c r="F21" s="7" t="s">
        <v>93</v>
      </c>
      <c r="G21" s="5" t="s">
        <v>302</v>
      </c>
      <c r="H21" s="5" t="s">
        <v>80</v>
      </c>
    </row>
    <row r="22" spans="1:8" x14ac:dyDescent="0.25">
      <c r="A22" s="6" t="s">
        <v>115</v>
      </c>
      <c r="B22" s="3" t="s">
        <v>116</v>
      </c>
      <c r="C22" s="6" t="s">
        <v>37</v>
      </c>
      <c r="D22" s="3" t="s">
        <v>294</v>
      </c>
      <c r="E22" s="6" t="s">
        <v>295</v>
      </c>
      <c r="F22" s="7" t="s">
        <v>93</v>
      </c>
      <c r="G22" s="6" t="s">
        <v>303</v>
      </c>
      <c r="H22" s="6" t="s">
        <v>80</v>
      </c>
    </row>
    <row r="23" spans="1:8" ht="25.5" x14ac:dyDescent="0.25">
      <c r="A23" s="6" t="s">
        <v>129</v>
      </c>
      <c r="B23" s="27" t="s">
        <v>504</v>
      </c>
      <c r="C23" s="6" t="s">
        <v>37</v>
      </c>
      <c r="D23" s="3" t="s">
        <v>505</v>
      </c>
      <c r="E23" s="6" t="s">
        <v>295</v>
      </c>
      <c r="F23" s="17" t="s">
        <v>420</v>
      </c>
      <c r="G23" s="5"/>
      <c r="H23" s="6" t="s">
        <v>327</v>
      </c>
    </row>
    <row r="24" spans="1:8" ht="25.5" x14ac:dyDescent="0.25">
      <c r="A24" s="6" t="s">
        <v>120</v>
      </c>
      <c r="B24" s="3" t="s">
        <v>304</v>
      </c>
      <c r="C24" s="6" t="s">
        <v>37</v>
      </c>
      <c r="D24" s="3" t="s">
        <v>505</v>
      </c>
      <c r="E24" s="6" t="s">
        <v>295</v>
      </c>
      <c r="F24" s="17" t="s">
        <v>420</v>
      </c>
      <c r="G24" s="6" t="s">
        <v>80</v>
      </c>
      <c r="H24" s="5" t="s">
        <v>331</v>
      </c>
    </row>
    <row r="25" spans="1:8" ht="25.5" x14ac:dyDescent="0.25">
      <c r="A25" s="5" t="s">
        <v>125</v>
      </c>
      <c r="B25" s="2" t="s">
        <v>305</v>
      </c>
      <c r="C25" s="5" t="s">
        <v>37</v>
      </c>
      <c r="D25" s="3" t="s">
        <v>505</v>
      </c>
      <c r="E25" s="5" t="s">
        <v>295</v>
      </c>
      <c r="F25" s="17" t="s">
        <v>420</v>
      </c>
      <c r="G25" s="5" t="s">
        <v>80</v>
      </c>
      <c r="H25" s="5" t="s">
        <v>334</v>
      </c>
    </row>
    <row r="26" spans="1:8" ht="25.5" x14ac:dyDescent="0.25">
      <c r="A26" s="6" t="s">
        <v>129</v>
      </c>
      <c r="B26" s="3" t="s">
        <v>306</v>
      </c>
      <c r="C26" s="6" t="s">
        <v>37</v>
      </c>
      <c r="D26" s="3" t="s">
        <v>505</v>
      </c>
      <c r="E26" s="6" t="s">
        <v>295</v>
      </c>
      <c r="F26" s="17" t="s">
        <v>420</v>
      </c>
      <c r="G26" s="6" t="s">
        <v>80</v>
      </c>
      <c r="H26" s="6" t="s">
        <v>334</v>
      </c>
    </row>
    <row r="27" spans="1:8" x14ac:dyDescent="0.25">
      <c r="A27" s="6" t="s">
        <v>132</v>
      </c>
      <c r="B27" s="3" t="s">
        <v>133</v>
      </c>
      <c r="C27" s="6" t="s">
        <v>55</v>
      </c>
      <c r="D27" s="3" t="s">
        <v>307</v>
      </c>
      <c r="E27" s="6" t="s">
        <v>308</v>
      </c>
      <c r="F27" s="7" t="s">
        <v>93</v>
      </c>
      <c r="G27" s="6" t="s">
        <v>309</v>
      </c>
      <c r="H27" s="6" t="s">
        <v>80</v>
      </c>
    </row>
    <row r="28" spans="1:8" ht="25.5" x14ac:dyDescent="0.25">
      <c r="A28" s="5" t="s">
        <v>137</v>
      </c>
      <c r="B28" s="2" t="s">
        <v>138</v>
      </c>
      <c r="C28" s="5" t="s">
        <v>55</v>
      </c>
      <c r="D28" s="2" t="s">
        <v>310</v>
      </c>
      <c r="E28" s="5" t="s">
        <v>308</v>
      </c>
      <c r="F28" s="7" t="s">
        <v>93</v>
      </c>
      <c r="G28" s="5" t="s">
        <v>309</v>
      </c>
      <c r="H28" s="5" t="s">
        <v>80</v>
      </c>
    </row>
    <row r="29" spans="1:8" ht="25.5" x14ac:dyDescent="0.25">
      <c r="A29" s="6" t="s">
        <v>142</v>
      </c>
      <c r="B29" s="3" t="s">
        <v>143</v>
      </c>
      <c r="C29" s="6" t="s">
        <v>55</v>
      </c>
      <c r="D29" s="3" t="s">
        <v>310</v>
      </c>
      <c r="E29" s="6" t="s">
        <v>308</v>
      </c>
      <c r="F29" s="7" t="s">
        <v>93</v>
      </c>
      <c r="G29" s="6" t="s">
        <v>309</v>
      </c>
      <c r="H29" s="6" t="s">
        <v>80</v>
      </c>
    </row>
    <row r="30" spans="1:8" ht="25.5" x14ac:dyDescent="0.25">
      <c r="A30" s="5" t="s">
        <v>147</v>
      </c>
      <c r="B30" s="2" t="s">
        <v>148</v>
      </c>
      <c r="C30" s="5" t="s">
        <v>55</v>
      </c>
      <c r="D30" s="2" t="s">
        <v>311</v>
      </c>
      <c r="E30" s="5" t="s">
        <v>308</v>
      </c>
      <c r="F30" s="7" t="s">
        <v>93</v>
      </c>
      <c r="G30" s="5" t="s">
        <v>309</v>
      </c>
      <c r="H30" s="5" t="s">
        <v>80</v>
      </c>
    </row>
    <row r="31" spans="1:8" ht="25.5" x14ac:dyDescent="0.25">
      <c r="A31" s="6" t="s">
        <v>152</v>
      </c>
      <c r="B31" s="3" t="s">
        <v>153</v>
      </c>
      <c r="C31" s="6" t="s">
        <v>55</v>
      </c>
      <c r="D31" s="3" t="s">
        <v>310</v>
      </c>
      <c r="E31" s="6" t="s">
        <v>308</v>
      </c>
      <c r="F31" s="7" t="s">
        <v>93</v>
      </c>
      <c r="G31" s="6" t="s">
        <v>309</v>
      </c>
      <c r="H31" s="6" t="s">
        <v>80</v>
      </c>
    </row>
    <row r="32" spans="1:8" ht="25.5" x14ac:dyDescent="0.25">
      <c r="A32" s="5" t="s">
        <v>157</v>
      </c>
      <c r="B32" s="2" t="s">
        <v>158</v>
      </c>
      <c r="C32" s="5" t="s">
        <v>55</v>
      </c>
      <c r="D32" s="2" t="s">
        <v>310</v>
      </c>
      <c r="E32" s="5" t="s">
        <v>308</v>
      </c>
      <c r="F32" s="7" t="s">
        <v>93</v>
      </c>
      <c r="G32" s="5" t="s">
        <v>309</v>
      </c>
      <c r="H32" s="5" t="s">
        <v>80</v>
      </c>
    </row>
    <row r="33" spans="1:8" x14ac:dyDescent="0.25">
      <c r="A33" s="6" t="s">
        <v>160</v>
      </c>
      <c r="B33" s="3" t="s">
        <v>161</v>
      </c>
      <c r="C33" s="6" t="s">
        <v>55</v>
      </c>
      <c r="D33" s="3" t="s">
        <v>311</v>
      </c>
      <c r="E33" s="6" t="s">
        <v>308</v>
      </c>
      <c r="F33" s="7" t="s">
        <v>93</v>
      </c>
      <c r="G33" s="6" t="s">
        <v>309</v>
      </c>
      <c r="H33" s="6" t="s">
        <v>80</v>
      </c>
    </row>
    <row r="34" spans="1:8" x14ac:dyDescent="0.25">
      <c r="A34" s="5" t="s">
        <v>163</v>
      </c>
      <c r="B34" s="2" t="s">
        <v>164</v>
      </c>
      <c r="C34" s="5" t="s">
        <v>55</v>
      </c>
      <c r="D34" s="2" t="s">
        <v>312</v>
      </c>
      <c r="E34" s="5" t="s">
        <v>308</v>
      </c>
      <c r="F34" s="7" t="s">
        <v>93</v>
      </c>
      <c r="G34" s="5" t="s">
        <v>300</v>
      </c>
      <c r="H34" s="5" t="s">
        <v>80</v>
      </c>
    </row>
    <row r="35" spans="1:8" x14ac:dyDescent="0.25">
      <c r="A35" s="6" t="s">
        <v>168</v>
      </c>
      <c r="B35" s="3" t="s">
        <v>169</v>
      </c>
      <c r="C35" s="6" t="s">
        <v>55</v>
      </c>
      <c r="D35" s="3" t="s">
        <v>310</v>
      </c>
      <c r="E35" s="6" t="s">
        <v>308</v>
      </c>
      <c r="F35" s="7" t="s">
        <v>93</v>
      </c>
      <c r="G35" s="6" t="s">
        <v>309</v>
      </c>
      <c r="H35" s="6" t="s">
        <v>80</v>
      </c>
    </row>
    <row r="36" spans="1:8" ht="25.5" x14ac:dyDescent="0.25">
      <c r="A36" s="5" t="s">
        <v>174</v>
      </c>
      <c r="B36" s="2" t="s">
        <v>313</v>
      </c>
      <c r="C36" s="5" t="s">
        <v>67</v>
      </c>
      <c r="D36" s="2" t="s">
        <v>314</v>
      </c>
      <c r="E36" s="5" t="s">
        <v>315</v>
      </c>
      <c r="F36" s="7" t="s">
        <v>93</v>
      </c>
      <c r="G36" s="5" t="s">
        <v>316</v>
      </c>
      <c r="H36" s="5" t="s">
        <v>80</v>
      </c>
    </row>
    <row r="37" spans="1:8" ht="25.5" x14ac:dyDescent="0.25">
      <c r="A37" s="6" t="s">
        <v>179</v>
      </c>
      <c r="B37" s="3" t="s">
        <v>70</v>
      </c>
      <c r="C37" s="6" t="s">
        <v>67</v>
      </c>
      <c r="D37" s="3" t="s">
        <v>317</v>
      </c>
      <c r="E37" s="6" t="s">
        <v>315</v>
      </c>
      <c r="F37" s="7" t="s">
        <v>93</v>
      </c>
      <c r="G37" s="6" t="s">
        <v>316</v>
      </c>
      <c r="H37" s="6" t="s">
        <v>80</v>
      </c>
    </row>
    <row r="38" spans="1:8" ht="25.5" x14ac:dyDescent="0.25">
      <c r="A38" s="5" t="s">
        <v>182</v>
      </c>
      <c r="B38" s="2" t="s">
        <v>183</v>
      </c>
      <c r="C38" s="5" t="s">
        <v>67</v>
      </c>
      <c r="D38" s="2" t="s">
        <v>314</v>
      </c>
      <c r="E38" s="5" t="s">
        <v>315</v>
      </c>
      <c r="F38" s="7" t="s">
        <v>93</v>
      </c>
      <c r="G38" s="5" t="s">
        <v>318</v>
      </c>
      <c r="H38" s="5" t="s">
        <v>80</v>
      </c>
    </row>
    <row r="39" spans="1:8" ht="25.5" x14ac:dyDescent="0.25">
      <c r="A39" s="6" t="s">
        <v>187</v>
      </c>
      <c r="B39" s="3" t="s">
        <v>319</v>
      </c>
      <c r="C39" s="6" t="s">
        <v>320</v>
      </c>
      <c r="D39" s="3" t="s">
        <v>321</v>
      </c>
      <c r="E39" s="6" t="s">
        <v>308</v>
      </c>
      <c r="F39" s="7" t="s">
        <v>93</v>
      </c>
      <c r="G39" s="6" t="s">
        <v>80</v>
      </c>
      <c r="H39" s="6" t="s">
        <v>80</v>
      </c>
    </row>
    <row r="40" spans="1:8" ht="25.5" x14ac:dyDescent="0.25">
      <c r="A40" s="5" t="s">
        <v>190</v>
      </c>
      <c r="B40" s="2" t="s">
        <v>503</v>
      </c>
      <c r="C40" s="5" t="s">
        <v>320</v>
      </c>
      <c r="D40" s="2" t="s">
        <v>321</v>
      </c>
      <c r="E40" s="5" t="s">
        <v>308</v>
      </c>
      <c r="F40" s="7" t="s">
        <v>93</v>
      </c>
      <c r="G40" s="5" t="s">
        <v>80</v>
      </c>
      <c r="H40" s="5" t="s">
        <v>80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tabSelected="1" zoomScale="104" zoomScaleNormal="119" workbookViewId="0">
      <pane ySplit="2" topLeftCell="A3" activePane="bottomLeft" state="frozen"/>
      <selection pane="bottomLeft" activeCell="C11" sqref="C11"/>
    </sheetView>
  </sheetViews>
  <sheetFormatPr defaultRowHeight="15" x14ac:dyDescent="0.25"/>
  <cols>
    <col min="1" max="1" width="12" customWidth="1"/>
    <col min="2" max="2" width="18" customWidth="1"/>
    <col min="3" max="4" width="38" customWidth="1"/>
    <col min="5" max="5" width="32" customWidth="1"/>
    <col min="6" max="6" width="36" customWidth="1"/>
    <col min="7" max="7" width="10" customWidth="1"/>
    <col min="8" max="8" width="9" customWidth="1"/>
  </cols>
  <sheetData>
    <row r="1" spans="1:8" ht="30" customHeight="1" x14ac:dyDescent="0.25">
      <c r="A1" s="24" t="s">
        <v>322</v>
      </c>
      <c r="B1" s="25"/>
      <c r="C1" s="25"/>
      <c r="D1" s="25"/>
      <c r="E1" s="25"/>
      <c r="F1" s="25"/>
      <c r="G1" s="25"/>
      <c r="H1" s="25"/>
    </row>
    <row r="2" spans="1:8" ht="21.95" customHeight="1" x14ac:dyDescent="0.25">
      <c r="A2" s="4" t="s">
        <v>293</v>
      </c>
      <c r="B2" s="4" t="s">
        <v>82</v>
      </c>
      <c r="C2" s="4" t="s">
        <v>323</v>
      </c>
      <c r="D2" s="4" t="s">
        <v>324</v>
      </c>
      <c r="E2" s="4" t="s">
        <v>325</v>
      </c>
      <c r="F2" s="4" t="s">
        <v>326</v>
      </c>
      <c r="G2" s="4" t="s">
        <v>209</v>
      </c>
      <c r="H2" s="4" t="s">
        <v>87</v>
      </c>
    </row>
    <row r="3" spans="1:8" ht="72.75" customHeight="1" x14ac:dyDescent="0.25">
      <c r="A3" s="9" t="s">
        <v>327</v>
      </c>
      <c r="B3" s="12" t="s">
        <v>446</v>
      </c>
      <c r="C3" s="12" t="s">
        <v>499</v>
      </c>
      <c r="D3" s="12" t="s">
        <v>328</v>
      </c>
      <c r="E3" s="12" t="s">
        <v>329</v>
      </c>
      <c r="F3" s="12" t="s">
        <v>502</v>
      </c>
      <c r="G3" s="9" t="s">
        <v>38</v>
      </c>
      <c r="H3" s="9" t="s">
        <v>330</v>
      </c>
    </row>
    <row r="4" spans="1:8" ht="72.75" customHeight="1" x14ac:dyDescent="0.25">
      <c r="A4" s="9" t="s">
        <v>331</v>
      </c>
      <c r="B4" s="12" t="s">
        <v>447</v>
      </c>
      <c r="C4" s="12" t="s">
        <v>498</v>
      </c>
      <c r="D4" s="12" t="s">
        <v>332</v>
      </c>
      <c r="E4" s="12" t="s">
        <v>329</v>
      </c>
      <c r="F4" s="12" t="s">
        <v>333</v>
      </c>
      <c r="G4" s="9" t="s">
        <v>38</v>
      </c>
      <c r="H4" s="9" t="s">
        <v>330</v>
      </c>
    </row>
    <row r="5" spans="1:8" ht="84.75" customHeight="1" x14ac:dyDescent="0.25">
      <c r="A5" s="18" t="s">
        <v>334</v>
      </c>
      <c r="B5" s="12" t="s">
        <v>444</v>
      </c>
      <c r="C5" s="12" t="s">
        <v>335</v>
      </c>
      <c r="D5" s="12" t="s">
        <v>336</v>
      </c>
      <c r="E5" s="12" t="s">
        <v>337</v>
      </c>
      <c r="F5" s="12" t="s">
        <v>338</v>
      </c>
      <c r="G5" s="9" t="s">
        <v>38</v>
      </c>
      <c r="H5" s="9" t="s">
        <v>330</v>
      </c>
    </row>
    <row r="6" spans="1:8" ht="63.75" x14ac:dyDescent="0.25">
      <c r="A6" s="18" t="s">
        <v>339</v>
      </c>
      <c r="B6" s="12" t="s">
        <v>443</v>
      </c>
      <c r="C6" s="12" t="s">
        <v>497</v>
      </c>
      <c r="D6" s="12" t="s">
        <v>332</v>
      </c>
      <c r="E6" s="12" t="s">
        <v>500</v>
      </c>
      <c r="F6" s="12" t="s">
        <v>501</v>
      </c>
      <c r="G6" s="9" t="s">
        <v>38</v>
      </c>
      <c r="H6" s="9" t="s">
        <v>330</v>
      </c>
    </row>
    <row r="8" spans="1:8" x14ac:dyDescent="0.25">
      <c r="A8" s="28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4"/>
  <sheetViews>
    <sheetView workbookViewId="0">
      <selection sqref="A1:B1"/>
    </sheetView>
  </sheetViews>
  <sheetFormatPr defaultRowHeight="15" x14ac:dyDescent="0.25"/>
  <cols>
    <col min="1" max="1" width="36" customWidth="1"/>
    <col min="2" max="2" width="80" customWidth="1"/>
  </cols>
  <sheetData>
    <row r="1" spans="1:2" ht="35.1" customHeight="1" x14ac:dyDescent="0.25">
      <c r="A1" s="26" t="s">
        <v>340</v>
      </c>
      <c r="B1" s="25"/>
    </row>
    <row r="2" spans="1:2" ht="39.950000000000003" customHeight="1" x14ac:dyDescent="0.25">
      <c r="A2" s="10" t="s">
        <v>341</v>
      </c>
      <c r="B2" s="3" t="s">
        <v>279</v>
      </c>
    </row>
    <row r="3" spans="1:2" ht="39.950000000000003" customHeight="1" x14ac:dyDescent="0.25">
      <c r="A3" s="10" t="s">
        <v>342</v>
      </c>
      <c r="B3" s="2" t="s">
        <v>26</v>
      </c>
    </row>
    <row r="4" spans="1:2" ht="39.950000000000003" customHeight="1" x14ac:dyDescent="0.25">
      <c r="A4" s="10" t="s">
        <v>343</v>
      </c>
      <c r="B4" s="3" t="s">
        <v>282</v>
      </c>
    </row>
    <row r="5" spans="1:2" ht="39.950000000000003" customHeight="1" x14ac:dyDescent="0.25">
      <c r="A5" s="10" t="s">
        <v>344</v>
      </c>
      <c r="B5" s="2" t="s">
        <v>345</v>
      </c>
    </row>
    <row r="6" spans="1:2" ht="39.950000000000003" customHeight="1" x14ac:dyDescent="0.25">
      <c r="A6" s="13" t="s">
        <v>346</v>
      </c>
      <c r="B6" s="14"/>
    </row>
    <row r="7" spans="1:2" ht="39.950000000000003" customHeight="1" x14ac:dyDescent="0.25">
      <c r="A7" s="10" t="s">
        <v>347</v>
      </c>
      <c r="B7" s="2" t="s">
        <v>348</v>
      </c>
    </row>
    <row r="8" spans="1:2" ht="39.950000000000003" customHeight="1" x14ac:dyDescent="0.25">
      <c r="A8" s="10" t="s">
        <v>349</v>
      </c>
      <c r="B8" s="3" t="s">
        <v>350</v>
      </c>
    </row>
    <row r="9" spans="1:2" ht="39.950000000000003" customHeight="1" x14ac:dyDescent="0.25">
      <c r="A9" s="10" t="s">
        <v>351</v>
      </c>
      <c r="B9" s="2" t="s">
        <v>350</v>
      </c>
    </row>
    <row r="10" spans="1:2" ht="39.950000000000003" customHeight="1" x14ac:dyDescent="0.25">
      <c r="A10" s="10" t="s">
        <v>352</v>
      </c>
      <c r="B10" s="3" t="s">
        <v>350</v>
      </c>
    </row>
    <row r="11" spans="1:2" ht="39.950000000000003" customHeight="1" x14ac:dyDescent="0.25">
      <c r="A11" s="10" t="s">
        <v>353</v>
      </c>
      <c r="B11" s="2" t="s">
        <v>354</v>
      </c>
    </row>
    <row r="12" spans="1:2" ht="39.950000000000003" customHeight="1" x14ac:dyDescent="0.25">
      <c r="A12" s="10" t="s">
        <v>287</v>
      </c>
      <c r="B12" s="3" t="s">
        <v>354</v>
      </c>
    </row>
    <row r="13" spans="1:2" ht="39.950000000000003" customHeight="1" x14ac:dyDescent="0.25">
      <c r="A13" s="10" t="s">
        <v>124</v>
      </c>
      <c r="B13" s="2" t="s">
        <v>355</v>
      </c>
    </row>
    <row r="14" spans="1:2" ht="39.950000000000003" customHeight="1" x14ac:dyDescent="0.25">
      <c r="A14" s="10" t="s">
        <v>356</v>
      </c>
      <c r="B14" s="3" t="s">
        <v>357</v>
      </c>
    </row>
    <row r="15" spans="1:2" ht="39.950000000000003" customHeight="1" x14ac:dyDescent="0.25">
      <c r="A15" s="13" t="s">
        <v>358</v>
      </c>
      <c r="B15" s="14"/>
    </row>
    <row r="16" spans="1:2" ht="39.950000000000003" customHeight="1" x14ac:dyDescent="0.25">
      <c r="A16" s="10" t="s">
        <v>359</v>
      </c>
      <c r="B16" s="3" t="s">
        <v>360</v>
      </c>
    </row>
    <row r="17" spans="1:2" ht="39.950000000000003" customHeight="1" x14ac:dyDescent="0.25">
      <c r="A17" s="10" t="s">
        <v>361</v>
      </c>
      <c r="B17" s="2" t="s">
        <v>360</v>
      </c>
    </row>
    <row r="18" spans="1:2" ht="39.950000000000003" customHeight="1" x14ac:dyDescent="0.25">
      <c r="A18" s="10" t="s">
        <v>362</v>
      </c>
      <c r="B18" s="3" t="s">
        <v>363</v>
      </c>
    </row>
    <row r="19" spans="1:2" ht="39.950000000000003" customHeight="1" x14ac:dyDescent="0.25">
      <c r="A19" s="10" t="s">
        <v>236</v>
      </c>
      <c r="B19" s="2" t="s">
        <v>364</v>
      </c>
    </row>
    <row r="20" spans="1:2" ht="39.950000000000003" customHeight="1" x14ac:dyDescent="0.25">
      <c r="A20" s="10" t="s">
        <v>365</v>
      </c>
      <c r="B20" s="3" t="s">
        <v>366</v>
      </c>
    </row>
    <row r="21" spans="1:2" ht="39.950000000000003" customHeight="1" x14ac:dyDescent="0.25">
      <c r="A21" s="13" t="s">
        <v>367</v>
      </c>
      <c r="B21" s="14"/>
    </row>
    <row r="22" spans="1:2" ht="39.950000000000003" customHeight="1" x14ac:dyDescent="0.25">
      <c r="A22" s="10" t="s">
        <v>368</v>
      </c>
      <c r="B22" s="3" t="s">
        <v>369</v>
      </c>
    </row>
    <row r="23" spans="1:2" ht="39.950000000000003" customHeight="1" x14ac:dyDescent="0.25">
      <c r="A23" s="10" t="s">
        <v>370</v>
      </c>
      <c r="B23" s="2" t="s">
        <v>371</v>
      </c>
    </row>
    <row r="24" spans="1:2" ht="39.950000000000003" customHeight="1" x14ac:dyDescent="0.25">
      <c r="A24" s="10" t="s">
        <v>372</v>
      </c>
      <c r="B24" s="3" t="s">
        <v>369</v>
      </c>
    </row>
    <row r="25" spans="1:2" ht="39.950000000000003" customHeight="1" x14ac:dyDescent="0.25">
      <c r="A25" s="10" t="s">
        <v>373</v>
      </c>
      <c r="B25" s="2" t="s">
        <v>369</v>
      </c>
    </row>
    <row r="26" spans="1:2" ht="39.950000000000003" customHeight="1" x14ac:dyDescent="0.25">
      <c r="A26" s="10" t="s">
        <v>374</v>
      </c>
      <c r="B26" s="3" t="s">
        <v>375</v>
      </c>
    </row>
    <row r="27" spans="1:2" ht="39.950000000000003" customHeight="1" x14ac:dyDescent="0.25">
      <c r="A27" s="10" t="s">
        <v>376</v>
      </c>
      <c r="B27" s="2" t="s">
        <v>369</v>
      </c>
    </row>
    <row r="28" spans="1:2" ht="39.950000000000003" customHeight="1" x14ac:dyDescent="0.25">
      <c r="A28" s="10" t="s">
        <v>377</v>
      </c>
      <c r="B28" s="3" t="s">
        <v>369</v>
      </c>
    </row>
    <row r="29" spans="1:2" ht="39.950000000000003" customHeight="1" x14ac:dyDescent="0.25">
      <c r="A29" s="10" t="s">
        <v>378</v>
      </c>
      <c r="B29" s="2" t="s">
        <v>369</v>
      </c>
    </row>
    <row r="30" spans="1:2" ht="39.950000000000003" customHeight="1" x14ac:dyDescent="0.25">
      <c r="A30" s="10" t="s">
        <v>379</v>
      </c>
      <c r="B30" s="3" t="s">
        <v>380</v>
      </c>
    </row>
    <row r="31" spans="1:2" ht="39.950000000000003" customHeight="1" x14ac:dyDescent="0.25">
      <c r="A31" s="10" t="s">
        <v>381</v>
      </c>
      <c r="B31" s="2" t="s">
        <v>382</v>
      </c>
    </row>
    <row r="32" spans="1:2" ht="39.950000000000003" customHeight="1" x14ac:dyDescent="0.25">
      <c r="A32" s="13" t="s">
        <v>383</v>
      </c>
      <c r="B32" s="14"/>
    </row>
    <row r="33" spans="1:2" ht="39.950000000000003" customHeight="1" x14ac:dyDescent="0.25">
      <c r="A33" s="10" t="s">
        <v>384</v>
      </c>
      <c r="B33" s="2" t="s">
        <v>385</v>
      </c>
    </row>
    <row r="34" spans="1:2" ht="39.950000000000003" customHeight="1" x14ac:dyDescent="0.25">
      <c r="A34" s="10" t="s">
        <v>68</v>
      </c>
      <c r="B34" s="3" t="s">
        <v>354</v>
      </c>
    </row>
    <row r="35" spans="1:2" ht="39.950000000000003" customHeight="1" x14ac:dyDescent="0.25">
      <c r="A35" s="10" t="s">
        <v>38</v>
      </c>
      <c r="B35" s="2" t="s">
        <v>386</v>
      </c>
    </row>
    <row r="36" spans="1:2" ht="39.950000000000003" customHeight="1" x14ac:dyDescent="0.25">
      <c r="A36" s="10" t="s">
        <v>50</v>
      </c>
      <c r="B36" s="3" t="s">
        <v>387</v>
      </c>
    </row>
    <row r="37" spans="1:2" ht="39.950000000000003" customHeight="1" x14ac:dyDescent="0.25">
      <c r="A37" s="10" t="s">
        <v>262</v>
      </c>
      <c r="B37" s="2" t="s">
        <v>354</v>
      </c>
    </row>
    <row r="38" spans="1:2" ht="39.950000000000003" customHeight="1" x14ac:dyDescent="0.25">
      <c r="A38" s="10" t="s">
        <v>388</v>
      </c>
      <c r="B38" s="3" t="s">
        <v>389</v>
      </c>
    </row>
    <row r="39" spans="1:2" ht="39.950000000000003" customHeight="1" x14ac:dyDescent="0.25">
      <c r="A39" s="10" t="s">
        <v>390</v>
      </c>
      <c r="B39" s="2" t="s">
        <v>391</v>
      </c>
    </row>
    <row r="40" spans="1:2" ht="39.950000000000003" customHeight="1" x14ac:dyDescent="0.25">
      <c r="A40" s="13" t="s">
        <v>392</v>
      </c>
      <c r="B40" s="14"/>
    </row>
    <row r="41" spans="1:2" ht="39.950000000000003" customHeight="1" x14ac:dyDescent="0.25">
      <c r="A41" s="10" t="s">
        <v>393</v>
      </c>
      <c r="B41" s="2" t="s">
        <v>394</v>
      </c>
    </row>
    <row r="42" spans="1:2" ht="39.950000000000003" customHeight="1" x14ac:dyDescent="0.25">
      <c r="A42" s="10" t="s">
        <v>395</v>
      </c>
      <c r="B42" s="3" t="s">
        <v>396</v>
      </c>
    </row>
    <row r="43" spans="1:2" ht="39.950000000000003" customHeight="1" x14ac:dyDescent="0.25">
      <c r="A43" s="10" t="s">
        <v>397</v>
      </c>
      <c r="B43" s="2" t="s">
        <v>295</v>
      </c>
    </row>
    <row r="44" spans="1:2" ht="39.950000000000003" customHeight="1" x14ac:dyDescent="0.25">
      <c r="A44" s="10" t="s">
        <v>398</v>
      </c>
      <c r="B44" s="3" t="s">
        <v>399</v>
      </c>
    </row>
    <row r="45" spans="1:2" ht="39.950000000000003" customHeight="1" x14ac:dyDescent="0.25">
      <c r="A45" s="10" t="s">
        <v>400</v>
      </c>
      <c r="B45" s="2" t="s">
        <v>401</v>
      </c>
    </row>
    <row r="46" spans="1:2" ht="39.950000000000003" customHeight="1" x14ac:dyDescent="0.25">
      <c r="A46" s="13" t="s">
        <v>402</v>
      </c>
      <c r="B46" s="14"/>
    </row>
    <row r="47" spans="1:2" ht="39.950000000000003" customHeight="1" x14ac:dyDescent="0.25">
      <c r="A47" s="10" t="s">
        <v>403</v>
      </c>
      <c r="B47" s="2" t="s">
        <v>404</v>
      </c>
    </row>
    <row r="48" spans="1:2" ht="39.950000000000003" customHeight="1" x14ac:dyDescent="0.25">
      <c r="A48" s="10" t="s">
        <v>242</v>
      </c>
      <c r="B48" s="3" t="s">
        <v>405</v>
      </c>
    </row>
    <row r="49" spans="1:2" ht="39.950000000000003" customHeight="1" x14ac:dyDescent="0.25">
      <c r="A49" s="10" t="s">
        <v>406</v>
      </c>
      <c r="B49" s="2" t="s">
        <v>407</v>
      </c>
    </row>
    <row r="50" spans="1:2" ht="39.950000000000003" customHeight="1" x14ac:dyDescent="0.25">
      <c r="A50" s="10" t="s">
        <v>408</v>
      </c>
      <c r="B50" s="3" t="s">
        <v>409</v>
      </c>
    </row>
    <row r="51" spans="1:2" ht="39.950000000000003" customHeight="1" x14ac:dyDescent="0.25">
      <c r="A51" s="10" t="s">
        <v>236</v>
      </c>
      <c r="B51" s="2" t="s">
        <v>410</v>
      </c>
    </row>
    <row r="52" spans="1:2" ht="39.950000000000003" customHeight="1" x14ac:dyDescent="0.25">
      <c r="A52" s="10" t="s">
        <v>411</v>
      </c>
      <c r="B52" s="3" t="s">
        <v>412</v>
      </c>
    </row>
    <row r="53" spans="1:2" ht="39.950000000000003" customHeight="1" x14ac:dyDescent="0.25">
      <c r="A53" s="13" t="s">
        <v>413</v>
      </c>
      <c r="B53" s="14"/>
    </row>
    <row r="54" spans="1:2" ht="39.950000000000003" customHeight="1" x14ac:dyDescent="0.25">
      <c r="A54" s="10" t="s">
        <v>210</v>
      </c>
      <c r="B54" s="3" t="s">
        <v>414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Plan</vt:lpstr>
      <vt:lpstr>Test Scenarios</vt:lpstr>
      <vt:lpstr>Test Cases</vt:lpstr>
      <vt:lpstr>RTM</vt:lpstr>
      <vt:lpstr>Code Review &amp; Gap Analysis</vt:lpstr>
      <vt:lpstr>Test Execution Report</vt:lpstr>
      <vt:lpstr>Defect Report</vt:lpstr>
      <vt:lpstr>Test 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Neeraj Dhakad</cp:lastModifiedBy>
  <dcterms:created xsi:type="dcterms:W3CDTF">2026-06-18T11:08:36Z</dcterms:created>
  <dcterms:modified xsi:type="dcterms:W3CDTF">2026-06-23T03:30:40Z</dcterms:modified>
</cp:coreProperties>
</file>